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D:\course\Data Analysis Course\Final Project\Project Excel\Final Project Excel\"/>
    </mc:Choice>
  </mc:AlternateContent>
  <xr:revisionPtr revIDLastSave="0" documentId="13_ncr:1_{ED29E4B6-61E0-4E1B-ADCA-F50976A4DBAD}" xr6:coauthVersionLast="47" xr6:coauthVersionMax="47" xr10:uidLastSave="{00000000-0000-0000-0000-000000000000}"/>
  <bookViews>
    <workbookView xWindow="-108" yWindow="-108" windowWidth="23256" windowHeight="12456" firstSheet="3" activeTab="6" xr2:uid="{D4D60B3F-BB3E-4FD4-AF0A-C84E846B268C}"/>
  </bookViews>
  <sheets>
    <sheet name="Finance" sheetId="6" r:id="rId1"/>
    <sheet name="HR" sheetId="5" r:id="rId2"/>
    <sheet name="IT" sheetId="4" r:id="rId3"/>
    <sheet name="Marketing" sheetId="3" r:id="rId4"/>
    <sheet name="All Dept" sheetId="2" r:id="rId5"/>
    <sheet name="Pivot Table Report" sheetId="8" r:id="rId6"/>
    <sheet name="Dashboard" sheetId="9" r:id="rId7"/>
  </sheets>
  <definedNames>
    <definedName name="ExternalData_1" localSheetId="4" hidden="1">'All Dept'!$A$1:$L$95</definedName>
    <definedName name="ExternalData_2" localSheetId="3" hidden="1">Marketing!$A$1:$L$19</definedName>
    <definedName name="ExternalData_3" localSheetId="2" hidden="1">IT!$A$1:$L$13</definedName>
    <definedName name="ExternalData_4" localSheetId="1" hidden="1">HR!$A$1:$L$24</definedName>
    <definedName name="ExternalData_5" localSheetId="0" hidden="1">Finance!$A$1:$L$11</definedName>
    <definedName name="Slicer_Dept">#N/A</definedName>
    <definedName name="Slicer_الموقع">#N/A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9" l="1"/>
  <c r="AC11" i="9"/>
  <c r="R11" i="9"/>
  <c r="P95" i="2"/>
  <c r="O95" i="2"/>
  <c r="N95" i="2"/>
  <c r="M95" i="2"/>
  <c r="P94" i="2"/>
  <c r="O94" i="2"/>
  <c r="N94" i="2"/>
  <c r="M94" i="2"/>
  <c r="P93" i="2"/>
  <c r="O93" i="2"/>
  <c r="N93" i="2"/>
  <c r="M93" i="2"/>
  <c r="P92" i="2"/>
  <c r="O92" i="2"/>
  <c r="N92" i="2"/>
  <c r="M92" i="2"/>
  <c r="P91" i="2"/>
  <c r="O91" i="2"/>
  <c r="N91" i="2"/>
  <c r="M91" i="2"/>
  <c r="P90" i="2"/>
  <c r="O90" i="2"/>
  <c r="N90" i="2"/>
  <c r="M90" i="2"/>
  <c r="P89" i="2"/>
  <c r="O89" i="2"/>
  <c r="N89" i="2"/>
  <c r="M89" i="2"/>
  <c r="P88" i="2"/>
  <c r="O88" i="2"/>
  <c r="N88" i="2"/>
  <c r="M88" i="2"/>
  <c r="P87" i="2"/>
  <c r="O87" i="2"/>
  <c r="N87" i="2"/>
  <c r="M87" i="2"/>
  <c r="P86" i="2"/>
  <c r="O86" i="2"/>
  <c r="N86" i="2"/>
  <c r="M86" i="2"/>
  <c r="P85" i="2"/>
  <c r="O85" i="2"/>
  <c r="N85" i="2"/>
  <c r="M85" i="2"/>
  <c r="P84" i="2"/>
  <c r="O84" i="2"/>
  <c r="N84" i="2"/>
  <c r="M84" i="2"/>
  <c r="P83" i="2"/>
  <c r="O83" i="2"/>
  <c r="N83" i="2"/>
  <c r="M83" i="2"/>
  <c r="P82" i="2"/>
  <c r="O82" i="2"/>
  <c r="N82" i="2"/>
  <c r="M82" i="2"/>
  <c r="P81" i="2"/>
  <c r="O81" i="2"/>
  <c r="N81" i="2"/>
  <c r="M81" i="2"/>
  <c r="P80" i="2"/>
  <c r="O80" i="2"/>
  <c r="N80" i="2"/>
  <c r="M80" i="2"/>
  <c r="P79" i="2"/>
  <c r="O79" i="2"/>
  <c r="N79" i="2"/>
  <c r="M79" i="2"/>
  <c r="P78" i="2"/>
  <c r="O78" i="2"/>
  <c r="N78" i="2"/>
  <c r="M78" i="2"/>
  <c r="P77" i="2"/>
  <c r="O77" i="2"/>
  <c r="N77" i="2"/>
  <c r="M77" i="2"/>
  <c r="P76" i="2"/>
  <c r="O76" i="2"/>
  <c r="N76" i="2"/>
  <c r="M76" i="2"/>
  <c r="P75" i="2"/>
  <c r="O75" i="2"/>
  <c r="N75" i="2"/>
  <c r="M75" i="2"/>
  <c r="P74" i="2"/>
  <c r="O74" i="2"/>
  <c r="N74" i="2"/>
  <c r="M74" i="2"/>
  <c r="P73" i="2"/>
  <c r="O73" i="2"/>
  <c r="N73" i="2"/>
  <c r="M73" i="2"/>
  <c r="P72" i="2"/>
  <c r="O72" i="2"/>
  <c r="N72" i="2"/>
  <c r="M72" i="2"/>
  <c r="P71" i="2"/>
  <c r="O71" i="2"/>
  <c r="N71" i="2"/>
  <c r="M71" i="2"/>
  <c r="P70" i="2"/>
  <c r="O70" i="2"/>
  <c r="N70" i="2"/>
  <c r="M70" i="2"/>
  <c r="P69" i="2"/>
  <c r="O69" i="2"/>
  <c r="N69" i="2"/>
  <c r="M69" i="2"/>
  <c r="P68" i="2"/>
  <c r="O68" i="2"/>
  <c r="N68" i="2"/>
  <c r="M68" i="2"/>
  <c r="P67" i="2"/>
  <c r="O67" i="2"/>
  <c r="N67" i="2"/>
  <c r="M67" i="2"/>
  <c r="P66" i="2"/>
  <c r="O66" i="2"/>
  <c r="N66" i="2"/>
  <c r="M66" i="2"/>
  <c r="P65" i="2"/>
  <c r="O65" i="2"/>
  <c r="N65" i="2"/>
  <c r="M65" i="2"/>
  <c r="P64" i="2"/>
  <c r="O64" i="2"/>
  <c r="N64" i="2"/>
  <c r="M64" i="2"/>
  <c r="P63" i="2"/>
  <c r="O63" i="2"/>
  <c r="N63" i="2"/>
  <c r="M63" i="2"/>
  <c r="P62" i="2"/>
  <c r="O62" i="2"/>
  <c r="N62" i="2"/>
  <c r="M62" i="2"/>
  <c r="P61" i="2"/>
  <c r="O61" i="2"/>
  <c r="N61" i="2"/>
  <c r="M61" i="2"/>
  <c r="P60" i="2"/>
  <c r="O60" i="2"/>
  <c r="N60" i="2"/>
  <c r="M60" i="2"/>
  <c r="P59" i="2"/>
  <c r="O59" i="2"/>
  <c r="N59" i="2"/>
  <c r="M59" i="2"/>
  <c r="P58" i="2"/>
  <c r="O58" i="2"/>
  <c r="N58" i="2"/>
  <c r="M58" i="2"/>
  <c r="P57" i="2"/>
  <c r="O57" i="2"/>
  <c r="N57" i="2"/>
  <c r="M57" i="2"/>
  <c r="P56" i="2"/>
  <c r="O56" i="2"/>
  <c r="N56" i="2"/>
  <c r="M56" i="2"/>
  <c r="P55" i="2"/>
  <c r="O55" i="2"/>
  <c r="N55" i="2"/>
  <c r="M55" i="2"/>
  <c r="P54" i="2"/>
  <c r="O54" i="2"/>
  <c r="N54" i="2"/>
  <c r="M54" i="2"/>
  <c r="P53" i="2"/>
  <c r="O53" i="2"/>
  <c r="N53" i="2"/>
  <c r="M53" i="2"/>
  <c r="P52" i="2"/>
  <c r="O52" i="2"/>
  <c r="N52" i="2"/>
  <c r="M52" i="2"/>
  <c r="P51" i="2"/>
  <c r="O51" i="2"/>
  <c r="N51" i="2"/>
  <c r="M51" i="2"/>
  <c r="P50" i="2"/>
  <c r="O50" i="2"/>
  <c r="N50" i="2"/>
  <c r="M50" i="2"/>
  <c r="P49" i="2"/>
  <c r="O49" i="2"/>
  <c r="N49" i="2"/>
  <c r="M49" i="2"/>
  <c r="P48" i="2"/>
  <c r="O48" i="2"/>
  <c r="N48" i="2"/>
  <c r="M48" i="2"/>
  <c r="P47" i="2"/>
  <c r="O47" i="2"/>
  <c r="N47" i="2"/>
  <c r="M47" i="2"/>
  <c r="P46" i="2"/>
  <c r="O46" i="2"/>
  <c r="N46" i="2"/>
  <c r="M46" i="2"/>
  <c r="P45" i="2"/>
  <c r="O45" i="2"/>
  <c r="N45" i="2"/>
  <c r="M45" i="2"/>
  <c r="P44" i="2"/>
  <c r="O44" i="2"/>
  <c r="N44" i="2"/>
  <c r="M44" i="2"/>
  <c r="P43" i="2"/>
  <c r="O43" i="2"/>
  <c r="N43" i="2"/>
  <c r="M43" i="2"/>
  <c r="P42" i="2"/>
  <c r="O42" i="2"/>
  <c r="N42" i="2"/>
  <c r="M42" i="2"/>
  <c r="P41" i="2"/>
  <c r="O41" i="2"/>
  <c r="N41" i="2"/>
  <c r="M41" i="2"/>
  <c r="P40" i="2"/>
  <c r="O40" i="2"/>
  <c r="N40" i="2"/>
  <c r="M40" i="2"/>
  <c r="P39" i="2"/>
  <c r="O39" i="2"/>
  <c r="N39" i="2"/>
  <c r="M39" i="2"/>
  <c r="P38" i="2"/>
  <c r="O38" i="2"/>
  <c r="N38" i="2"/>
  <c r="M38" i="2"/>
  <c r="P37" i="2"/>
  <c r="O37" i="2"/>
  <c r="N37" i="2"/>
  <c r="M37" i="2"/>
  <c r="P36" i="2"/>
  <c r="O36" i="2"/>
  <c r="N36" i="2"/>
  <c r="M36" i="2"/>
  <c r="P35" i="2"/>
  <c r="O35" i="2"/>
  <c r="N35" i="2"/>
  <c r="M35" i="2"/>
  <c r="P34" i="2"/>
  <c r="O34" i="2"/>
  <c r="N34" i="2"/>
  <c r="M34" i="2"/>
  <c r="P33" i="2"/>
  <c r="O33" i="2"/>
  <c r="N33" i="2"/>
  <c r="M33" i="2"/>
  <c r="P32" i="2"/>
  <c r="O32" i="2"/>
  <c r="N32" i="2"/>
  <c r="M32" i="2"/>
  <c r="P31" i="2"/>
  <c r="O31" i="2"/>
  <c r="N31" i="2"/>
  <c r="M31" i="2"/>
  <c r="P30" i="2"/>
  <c r="O30" i="2"/>
  <c r="N30" i="2"/>
  <c r="M30" i="2"/>
  <c r="P29" i="2"/>
  <c r="O29" i="2"/>
  <c r="N29" i="2"/>
  <c r="M29" i="2"/>
  <c r="P28" i="2"/>
  <c r="O28" i="2"/>
  <c r="N28" i="2"/>
  <c r="M28" i="2"/>
  <c r="P27" i="2"/>
  <c r="O27" i="2"/>
  <c r="N27" i="2"/>
  <c r="M27" i="2"/>
  <c r="P26" i="2"/>
  <c r="O26" i="2"/>
  <c r="N26" i="2"/>
  <c r="M26" i="2"/>
  <c r="P25" i="2"/>
  <c r="O25" i="2"/>
  <c r="N25" i="2"/>
  <c r="M25" i="2"/>
  <c r="P24" i="2"/>
  <c r="O24" i="2"/>
  <c r="N24" i="2"/>
  <c r="M24" i="2"/>
  <c r="P23" i="2"/>
  <c r="O23" i="2"/>
  <c r="N23" i="2"/>
  <c r="M23" i="2"/>
  <c r="P22" i="2"/>
  <c r="O22" i="2"/>
  <c r="N22" i="2"/>
  <c r="M22" i="2"/>
  <c r="P21" i="2"/>
  <c r="O21" i="2"/>
  <c r="N21" i="2"/>
  <c r="M21" i="2"/>
  <c r="P20" i="2"/>
  <c r="O20" i="2"/>
  <c r="N20" i="2"/>
  <c r="M20" i="2"/>
  <c r="P19" i="2"/>
  <c r="O19" i="2"/>
  <c r="N19" i="2"/>
  <c r="M19" i="2"/>
  <c r="P18" i="2"/>
  <c r="O18" i="2"/>
  <c r="N18" i="2"/>
  <c r="M18" i="2"/>
  <c r="P17" i="2"/>
  <c r="O17" i="2"/>
  <c r="N17" i="2"/>
  <c r="M17" i="2"/>
  <c r="P16" i="2"/>
  <c r="O16" i="2"/>
  <c r="N16" i="2"/>
  <c r="M16" i="2"/>
  <c r="P15" i="2"/>
  <c r="O15" i="2"/>
  <c r="N15" i="2"/>
  <c r="M15" i="2"/>
  <c r="P14" i="2"/>
  <c r="O14" i="2"/>
  <c r="N14" i="2"/>
  <c r="M14" i="2"/>
  <c r="P13" i="2"/>
  <c r="O13" i="2"/>
  <c r="N13" i="2"/>
  <c r="M13" i="2"/>
  <c r="P12" i="2"/>
  <c r="O12" i="2"/>
  <c r="N12" i="2"/>
  <c r="M12" i="2"/>
  <c r="P11" i="2"/>
  <c r="O11" i="2"/>
  <c r="N11" i="2"/>
  <c r="M11" i="2"/>
  <c r="P10" i="2"/>
  <c r="O10" i="2"/>
  <c r="N10" i="2"/>
  <c r="M10" i="2"/>
  <c r="P9" i="2"/>
  <c r="O9" i="2"/>
  <c r="N9" i="2"/>
  <c r="M9" i="2"/>
  <c r="P8" i="2"/>
  <c r="O8" i="2"/>
  <c r="N8" i="2"/>
  <c r="M8" i="2"/>
  <c r="P7" i="2"/>
  <c r="O7" i="2"/>
  <c r="N7" i="2"/>
  <c r="M7" i="2"/>
  <c r="P6" i="2"/>
  <c r="O6" i="2"/>
  <c r="N6" i="2"/>
  <c r="M6" i="2"/>
  <c r="P5" i="2"/>
  <c r="O5" i="2"/>
  <c r="N5" i="2"/>
  <c r="M5" i="2"/>
  <c r="P4" i="2"/>
  <c r="O4" i="2"/>
  <c r="N4" i="2"/>
  <c r="M4" i="2"/>
  <c r="P3" i="2"/>
  <c r="O3" i="2"/>
  <c r="N3" i="2"/>
  <c r="M3" i="2"/>
  <c r="P2" i="2"/>
  <c r="O2" i="2"/>
  <c r="N2"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1C5A74-A70C-40EF-A9CA-1EDBC3C29827}" keepAlive="1" name="Query - All Dept" description="Connection to the 'All Dept' query in the workbook." type="5" refreshedVersion="8" background="1" saveData="1">
    <dbPr connection="Provider=Microsoft.Mashup.OleDb.1;Data Source=$Workbook$;Location=&quot;All Dept&quot;;Extended Properties=&quot;&quot;" command="SELECT * FROM [All Dept]"/>
  </connection>
  <connection id="2" xr16:uid="{FE3C8538-E77B-4951-8A4B-AD468A31CF28}" keepAlive="1" name="Query - Finance5" description="Connection to the 'Finance5' query in the workbook." type="5" refreshedVersion="8" background="1" saveData="1">
    <dbPr connection="Provider=Microsoft.Mashup.OleDb.1;Data Source=$Workbook$;Location=Finance5;Extended Properties=&quot;&quot;" command="SELECT * FROM [Finance5]"/>
  </connection>
  <connection id="3" xr16:uid="{5B4AD19F-5916-4138-84FE-E367145F3907}" keepAlive="1" name="Query - HR4" description="Connection to the 'HR4' query in the workbook." type="5" refreshedVersion="8" background="1" saveData="1">
    <dbPr connection="Provider=Microsoft.Mashup.OleDb.1;Data Source=$Workbook$;Location=HR4;Extended Properties=&quot;&quot;" command="SELECT * FROM [HR4]"/>
  </connection>
  <connection id="4" xr16:uid="{1C5B0014-54A1-43E6-A47B-E134E0C13AD2}" keepAlive="1" name="Query - IT3" description="Connection to the 'IT3' query in the workbook." type="5" refreshedVersion="8" background="1" saveData="1">
    <dbPr connection="Provider=Microsoft.Mashup.OleDb.1;Data Source=$Workbook$;Location=IT3;Extended Properties=&quot;&quot;" command="SELECT * FROM [IT3]"/>
  </connection>
  <connection id="5" xr16:uid="{057705B1-0F40-4D68-91DD-67A35A36D4CB}" keepAlive="1" name="Query - Marketing2" description="Connection to the 'Marketing2' query in the workbook." type="5" refreshedVersion="8" background="1" saveData="1">
    <dbPr connection="Provider=Microsoft.Mashup.OleDb.1;Data Source=$Workbook$;Location=Marketing2;Extended Properties=&quot;&quot;" command="SELECT * FROM [Marketing2]"/>
  </connection>
</connections>
</file>

<file path=xl/sharedStrings.xml><?xml version="1.0" encoding="utf-8"?>
<sst xmlns="http://schemas.openxmlformats.org/spreadsheetml/2006/main" count="1003" uniqueCount="108">
  <si>
    <t>المسلسل</t>
  </si>
  <si>
    <t>الرقم الوظيفي</t>
  </si>
  <si>
    <t>اسم الموظف</t>
  </si>
  <si>
    <t>الوظيفة</t>
  </si>
  <si>
    <t>الموقع</t>
  </si>
  <si>
    <t>تاريخ التعيين</t>
  </si>
  <si>
    <t>تاريخ الميلاد</t>
  </si>
  <si>
    <t>المؤهل الدراسي</t>
  </si>
  <si>
    <t>الراتب</t>
  </si>
  <si>
    <t>PER 2019</t>
  </si>
  <si>
    <t>PER 2020</t>
  </si>
  <si>
    <t>Dept</t>
  </si>
  <si>
    <t>أحمد سمير</t>
  </si>
  <si>
    <t>Sales Manager</t>
  </si>
  <si>
    <t>بكالوريوس</t>
  </si>
  <si>
    <t>Sales</t>
  </si>
  <si>
    <t>هدي محمد</t>
  </si>
  <si>
    <t>Sales rep.</t>
  </si>
  <si>
    <t>دبلوم</t>
  </si>
  <si>
    <t>أشرف أحمد</t>
  </si>
  <si>
    <t>تامر خالد</t>
  </si>
  <si>
    <t>حازم أحمد</t>
  </si>
  <si>
    <t>يوسف أحمد</t>
  </si>
  <si>
    <t>أحمد فريد</t>
  </si>
  <si>
    <t>طنطا</t>
  </si>
  <si>
    <t>نورهان أحمد</t>
  </si>
  <si>
    <t>منه محمود</t>
  </si>
  <si>
    <t>منه أحمد</t>
  </si>
  <si>
    <t>هند بهاء</t>
  </si>
  <si>
    <t>مارك يوسف</t>
  </si>
  <si>
    <t>يحيي هادي</t>
  </si>
  <si>
    <t>نغم محمد</t>
  </si>
  <si>
    <t>محمد أحمد</t>
  </si>
  <si>
    <t>أحمد حسن</t>
  </si>
  <si>
    <t>محمد علاء</t>
  </si>
  <si>
    <t>علي محمد</t>
  </si>
  <si>
    <t>مهاب أسامة</t>
  </si>
  <si>
    <t>عبد الرحمن محمد</t>
  </si>
  <si>
    <t>محمد راضي</t>
  </si>
  <si>
    <t>الاء أحمد</t>
  </si>
  <si>
    <t>كامل عصام</t>
  </si>
  <si>
    <t>خالد محمد</t>
  </si>
  <si>
    <t>سارة احمد محمد</t>
  </si>
  <si>
    <t>Marketing Manager</t>
  </si>
  <si>
    <t>ماجستير</t>
  </si>
  <si>
    <t>Marketing</t>
  </si>
  <si>
    <t>ندي إبراهيم</t>
  </si>
  <si>
    <t>Digital marketing specialist</t>
  </si>
  <si>
    <t>القاهرة</t>
  </si>
  <si>
    <t>Products Marketing Coordinator</t>
  </si>
  <si>
    <t>مي محمد ابراهيم</t>
  </si>
  <si>
    <t>مروة محمد عبدالله</t>
  </si>
  <si>
    <t>هالة عبد العال</t>
  </si>
  <si>
    <t>فادي نور</t>
  </si>
  <si>
    <t>نور يحيي</t>
  </si>
  <si>
    <t>اسراء عصام</t>
  </si>
  <si>
    <t>IT Manager</t>
  </si>
  <si>
    <t>IT</t>
  </si>
  <si>
    <t>Software developer</t>
  </si>
  <si>
    <t>HR Manager</t>
  </si>
  <si>
    <t>HR</t>
  </si>
  <si>
    <t>HR Specialist</t>
  </si>
  <si>
    <t>ايمان علي سلامة</t>
  </si>
  <si>
    <t>Recruitment Specialsit</t>
  </si>
  <si>
    <t>HR Coordinator</t>
  </si>
  <si>
    <t>مؤمن محمد</t>
  </si>
  <si>
    <t>حسين ياسر</t>
  </si>
  <si>
    <t>نسمة كامل</t>
  </si>
  <si>
    <t>تغريد يحيي</t>
  </si>
  <si>
    <t>حسن أحمد</t>
  </si>
  <si>
    <t>Financial Manager</t>
  </si>
  <si>
    <t>Finance</t>
  </si>
  <si>
    <t>Accountant</t>
  </si>
  <si>
    <t>Age</t>
  </si>
  <si>
    <t>Delta</t>
  </si>
  <si>
    <t>total Avg Performance</t>
  </si>
  <si>
    <t>Grand Total</t>
  </si>
  <si>
    <t xml:space="preserve">Years of Experience </t>
  </si>
  <si>
    <t>Average of PER 2020</t>
  </si>
  <si>
    <t>Average of PER 2019</t>
  </si>
  <si>
    <t>Average of Delta</t>
  </si>
  <si>
    <t xml:space="preserve">Average of Years of Experience </t>
  </si>
  <si>
    <t>Average of Age</t>
  </si>
  <si>
    <t>Dashboard Report 2019 - 2020</t>
  </si>
  <si>
    <t xml:space="preserve"> Tech X</t>
  </si>
  <si>
    <t>الإسكندرية</t>
  </si>
  <si>
    <t>No of Employees</t>
  </si>
  <si>
    <t>Total Salaries</t>
  </si>
  <si>
    <t>Site</t>
  </si>
  <si>
    <t>Site VS Academic Level</t>
  </si>
  <si>
    <t>Min Salary</t>
  </si>
  <si>
    <t>Max Salary</t>
  </si>
  <si>
    <t>Average Salary</t>
  </si>
  <si>
    <t>No. of Employees</t>
  </si>
  <si>
    <t>1) Avg. Emp Per in 2019&amp;2020 and Avg Per Change  for each Site</t>
  </si>
  <si>
    <t>2) Avg Years of Exp &amp; Age of Emp for each Site</t>
  </si>
  <si>
    <t>3) Min, Max, and Avg Salaries for each Site</t>
  </si>
  <si>
    <t>4) Total Salaries for each Job role at each Site</t>
  </si>
  <si>
    <t>5) No. of Emp per Job role at each Site</t>
  </si>
  <si>
    <t>6) Total No. of Emp at each Site</t>
  </si>
  <si>
    <t>7) Total Salaries for each Site</t>
  </si>
  <si>
    <t>8) Academic Level VS no. of Employees at each Site</t>
  </si>
  <si>
    <t>Sum of Salaries</t>
  </si>
  <si>
    <t>Row Labels</t>
  </si>
  <si>
    <t>AVERAGE EMPLOYEE PERFORMANCE</t>
  </si>
  <si>
    <t>Sum of total Avg Performance</t>
  </si>
  <si>
    <t>DEPARTMENTS</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</si>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</sst>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11" x14ac:knownFonts="1">
    <font>
      <sz val="11"/>
      <color theme="1"/>
      <name val="Aptos Narrow"/>
      <family val="2"/>
      <scheme val="minor"/>
    </font>
    <font>
      <sz val="8"/>
      <name val="Aptos Narrow"/>
      <family val="2"/>
      <scheme val="minor"/>
    </font>
    <font>
      <sz val="11"/>
      <name val="Aptos Narrow"/>
      <family val="2"/>
      <scheme val="minor"/>
    </font>
    <font>
      <sz val="12"/>
      <color theme="1"/>
      <name val="Aptos Narrow"/>
      <family val="2"/>
      <scheme val="minor"/>
    </font>
    <font>
      <sz val="14"/>
      <color theme="1"/>
      <name val="Aptos Narrow"/>
      <family val="2"/>
      <scheme val="minor"/>
    </font>
    <font>
      <b/>
      <sz val="11"/>
      <color theme="1"/>
      <name val="Abadi Extra Light"/>
      <family val="2"/>
    </font>
    <font>
      <sz val="36"/>
      <color theme="1"/>
      <name val="Bodoni MT"/>
      <family val="1"/>
    </font>
    <font>
      <sz val="24"/>
      <color theme="0"/>
      <name val="Aptos Narrow"/>
      <family val="2"/>
      <scheme val="minor"/>
    </font>
    <font>
      <sz val="26"/>
      <color theme="0"/>
      <name val="Aptos Narrow"/>
      <family val="2"/>
      <scheme val="minor"/>
    </font>
    <font>
      <sz val="36"/>
      <color theme="0"/>
      <name val="Aptos Narrow"/>
      <family val="2"/>
      <scheme val="minor"/>
    </font>
    <font>
      <sz val="28"/>
      <color theme="0"/>
      <name val="Aptos Narrow"/>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bgColor indexed="64"/>
      </patternFill>
    </fill>
    <fill>
      <patternFill patternType="solid">
        <fgColor theme="3" tint="0.249977111117893"/>
        <bgColor indexed="64"/>
      </patternFill>
    </fill>
  </fills>
  <borders count="9">
    <border>
      <left/>
      <right/>
      <top/>
      <bottom/>
      <diagonal/>
    </border>
    <border>
      <left/>
      <right style="thin">
        <color theme="3" tint="0.249977111117893"/>
      </right>
      <top/>
      <bottom/>
      <diagonal/>
    </border>
    <border>
      <left style="thin">
        <color theme="3" tint="0.249977111117893"/>
      </left>
      <right/>
      <top style="thin">
        <color theme="3" tint="0.249977111117893"/>
      </top>
      <bottom/>
      <diagonal/>
    </border>
    <border>
      <left/>
      <right/>
      <top style="thin">
        <color theme="3" tint="0.249977111117893"/>
      </top>
      <bottom/>
      <diagonal/>
    </border>
    <border>
      <left/>
      <right style="thin">
        <color theme="3" tint="0.249977111117893"/>
      </right>
      <top style="thin">
        <color theme="3" tint="0.249977111117893"/>
      </top>
      <bottom/>
      <diagonal/>
    </border>
    <border>
      <left style="thin">
        <color theme="3" tint="0.249977111117893"/>
      </left>
      <right/>
      <top/>
      <bottom/>
      <diagonal/>
    </border>
    <border>
      <left style="thin">
        <color theme="3" tint="0.249977111117893"/>
      </left>
      <right/>
      <top/>
      <bottom style="thin">
        <color theme="3" tint="0.249977111117893"/>
      </bottom>
      <diagonal/>
    </border>
    <border>
      <left/>
      <right/>
      <top/>
      <bottom style="thin">
        <color theme="3" tint="0.249977111117893"/>
      </bottom>
      <diagonal/>
    </border>
    <border>
      <left/>
      <right style="thin">
        <color theme="3" tint="0.249977111117893"/>
      </right>
      <top/>
      <bottom style="thin">
        <color theme="3" tint="0.249977111117893"/>
      </bottom>
      <diagonal/>
    </border>
  </borders>
  <cellStyleXfs count="1">
    <xf numFmtId="0" fontId="0" fillId="0" borderId="0"/>
  </cellStyleXfs>
  <cellXfs count="50">
    <xf numFmtId="0" fontId="0" fillId="0" borderId="0" xfId="0"/>
    <xf numFmtId="14" fontId="0" fillId="0" borderId="0" xfId="0" applyNumberFormat="1"/>
    <xf numFmtId="164" fontId="0" fillId="0" borderId="0" xfId="0" applyNumberFormat="1"/>
    <xf numFmtId="9" fontId="0" fillId="0" borderId="0" xfId="0" applyNumberFormat="1"/>
    <xf numFmtId="1" fontId="0" fillId="0" borderId="0" xfId="0" applyNumberFormat="1"/>
    <xf numFmtId="165" fontId="0" fillId="0" borderId="0" xfId="0" applyNumberFormat="1"/>
    <xf numFmtId="0" fontId="3" fillId="0" borderId="0" xfId="0" applyFont="1"/>
    <xf numFmtId="0" fontId="3" fillId="0" borderId="0" xfId="0" pivotButton="1" applyFont="1"/>
    <xf numFmtId="0" fontId="3" fillId="0" borderId="0" xfId="0" applyFont="1" applyAlignment="1">
      <alignment horizontal="left"/>
    </xf>
    <xf numFmtId="9" fontId="3" fillId="0" borderId="0" xfId="0" applyNumberFormat="1" applyFont="1"/>
    <xf numFmtId="165" fontId="3" fillId="0" borderId="0" xfId="0" applyNumberFormat="1" applyFont="1"/>
    <xf numFmtId="1" fontId="3" fillId="0" borderId="0" xfId="0" applyNumberFormat="1" applyFont="1"/>
    <xf numFmtId="0" fontId="0" fillId="3" borderId="0" xfId="0" applyFill="1"/>
    <xf numFmtId="0" fontId="2" fillId="0" borderId="0" xfId="0" applyFont="1"/>
    <xf numFmtId="0" fontId="3" fillId="0" borderId="0" xfId="0" applyFont="1" applyAlignment="1">
      <alignment horizontal="left" indent="1"/>
    </xf>
    <xf numFmtId="0" fontId="0" fillId="0" borderId="0" xfId="0" applyAlignment="1">
      <alignment horizontal="center" vertical="center"/>
    </xf>
    <xf numFmtId="1" fontId="0" fillId="0" borderId="0" xfId="0" applyNumberFormat="1" applyAlignment="1">
      <alignment horizontal="center" vertical="center"/>
    </xf>
    <xf numFmtId="0" fontId="0" fillId="3" borderId="1" xfId="0" applyFill="1" applyBorder="1"/>
    <xf numFmtId="0" fontId="0" fillId="4" borderId="2" xfId="0" applyFill="1" applyBorder="1"/>
    <xf numFmtId="0" fontId="0" fillId="4" borderId="4" xfId="0" applyFill="1" applyBorder="1"/>
    <xf numFmtId="0" fontId="0" fillId="4" borderId="5" xfId="0" applyFill="1" applyBorder="1"/>
    <xf numFmtId="0" fontId="0" fillId="4" borderId="1" xfId="0" applyFill="1" applyBorder="1"/>
    <xf numFmtId="0" fontId="0" fillId="3" borderId="7" xfId="0" applyFill="1" applyBorder="1"/>
    <xf numFmtId="0" fontId="0" fillId="3" borderId="8" xfId="0" applyFill="1" applyBorder="1"/>
    <xf numFmtId="0" fontId="6" fillId="4" borderId="3" xfId="0" applyFont="1" applyFill="1" applyBorder="1" applyAlignment="1">
      <alignment vertical="center"/>
    </xf>
    <xf numFmtId="0" fontId="6" fillId="4" borderId="0" xfId="0" applyFont="1" applyFill="1" applyAlignment="1">
      <alignment vertical="center"/>
    </xf>
    <xf numFmtId="0" fontId="5" fillId="4" borderId="5" xfId="0" applyFont="1" applyFill="1" applyBorder="1" applyAlignment="1">
      <alignment horizontal="left" vertical="center"/>
    </xf>
    <xf numFmtId="0" fontId="4" fillId="2" borderId="0" xfId="0" applyFont="1" applyFill="1" applyAlignment="1">
      <alignment horizontal="center"/>
    </xf>
    <xf numFmtId="0" fontId="3" fillId="2" borderId="0" xfId="0" applyFont="1" applyFill="1" applyAlignment="1">
      <alignment horizontal="center"/>
    </xf>
    <xf numFmtId="0" fontId="6" fillId="4" borderId="3" xfId="0" applyFont="1" applyFill="1" applyBorder="1" applyAlignment="1">
      <alignment horizontal="center" vertical="center"/>
    </xf>
    <xf numFmtId="0" fontId="6" fillId="4" borderId="0" xfId="0" applyFont="1" applyFill="1" applyAlignment="1">
      <alignment horizontal="center" vertical="center"/>
    </xf>
    <xf numFmtId="0" fontId="0" fillId="0" borderId="0" xfId="0" pivotButton="1"/>
    <xf numFmtId="0" fontId="0" fillId="0" borderId="0" xfId="0" applyAlignment="1">
      <alignment horizontal="left"/>
    </xf>
    <xf numFmtId="0" fontId="3" fillId="0" borderId="0" xfId="0" applyNumberFormat="1" applyFont="1"/>
    <xf numFmtId="0" fontId="0" fillId="4" borderId="3" xfId="0" applyFill="1" applyBorder="1"/>
    <xf numFmtId="0" fontId="0" fillId="4" borderId="0" xfId="0" applyFill="1" applyBorder="1"/>
    <xf numFmtId="0" fontId="5" fillId="4" borderId="0" xfId="0" applyFont="1" applyFill="1" applyBorder="1" applyAlignment="1">
      <alignment horizontal="left" vertical="center"/>
    </xf>
    <xf numFmtId="0" fontId="0" fillId="5" borderId="5" xfId="0" applyFill="1" applyBorder="1"/>
    <xf numFmtId="0" fontId="0" fillId="5" borderId="0" xfId="0" applyFill="1" applyBorder="1"/>
    <xf numFmtId="0" fontId="0" fillId="5" borderId="0" xfId="0" applyFill="1"/>
    <xf numFmtId="0" fontId="0" fillId="5" borderId="6" xfId="0" applyFill="1" applyBorder="1"/>
    <xf numFmtId="0" fontId="0" fillId="5" borderId="7" xfId="0" applyFill="1" applyBorder="1"/>
    <xf numFmtId="0" fontId="8" fillId="5" borderId="0" xfId="0" applyFont="1" applyFill="1" applyAlignment="1">
      <alignment horizontal="center" vertical="center"/>
    </xf>
    <xf numFmtId="0" fontId="9" fillId="5" borderId="0" xfId="0" applyFont="1" applyFill="1" applyAlignment="1">
      <alignment horizontal="center" vertical="center"/>
    </xf>
    <xf numFmtId="9" fontId="8" fillId="5" borderId="0" xfId="0" applyNumberFormat="1" applyFont="1" applyFill="1" applyAlignment="1">
      <alignment horizontal="center" vertical="center"/>
    </xf>
    <xf numFmtId="1" fontId="10" fillId="5" borderId="0" xfId="0" applyNumberFormat="1" applyFont="1" applyFill="1" applyAlignment="1">
      <alignment horizontal="center" vertical="center"/>
    </xf>
    <xf numFmtId="0" fontId="10" fillId="6" borderId="0" xfId="0" applyFont="1" applyFill="1" applyAlignment="1">
      <alignment horizontal="center" vertical="center"/>
    </xf>
    <xf numFmtId="0" fontId="7" fillId="6" borderId="0" xfId="0" applyFont="1" applyFill="1" applyAlignment="1">
      <alignment horizontal="center" vertical="center"/>
    </xf>
    <xf numFmtId="0" fontId="8" fillId="6" borderId="0" xfId="0" applyFont="1" applyFill="1" applyAlignment="1">
      <alignment horizontal="center" vertical="center"/>
    </xf>
    <xf numFmtId="0" fontId="0" fillId="6" borderId="0" xfId="0" applyFill="1" applyAlignment="1">
      <alignment horizontal="center" vertical="center"/>
    </xf>
  </cellXfs>
  <cellStyles count="1">
    <cellStyle name="Normal" xfId="0" builtinId="0"/>
  </cellStyles>
  <dxfs count="77">
    <dxf>
      <font>
        <color rgb="FF9C0006"/>
      </font>
      <fill>
        <patternFill>
          <bgColor rgb="FFFFC7CE"/>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 formatCode="0"/>
    </dxf>
    <dxf>
      <numFmt numFmtId="1" formatCode="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5" formatCode="\+0.00;\-0.00;0.00"/>
    </dxf>
    <dxf>
      <numFmt numFmtId="164" formatCode="0.0%"/>
    </dxf>
    <dxf>
      <numFmt numFmtId="0" formatCode="General"/>
    </dxf>
    <dxf>
      <font>
        <b val="0"/>
        <strike val="0"/>
        <outline val="0"/>
        <shadow val="0"/>
        <u val="none"/>
        <vertAlign val="baseline"/>
        <sz val="11"/>
        <color auto="1"/>
        <name val="Aptos Narrow"/>
        <family val="2"/>
        <scheme val="minor"/>
      </font>
      <numFmt numFmtId="0" formatCode="General"/>
    </dxf>
    <dxf>
      <numFmt numFmtId="0" formatCode="General"/>
    </dxf>
    <dxf>
      <numFmt numFmtId="13" formatCode="0%"/>
    </dxf>
    <dxf>
      <numFmt numFmtId="13" formatCode="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 formatCode="0"/>
    </dxf>
    <dxf>
      <alignment horizontal="center" vertical="center" textRotation="0" wrapText="0" indent="0" justifyLastLine="0" shrinkToFit="0" readingOrder="0"/>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0C23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[Report.xlsx]Pivot Table Report!PivotTable8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No. of Emp at each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noFill/>
          </a:ln>
          <a:effectLst/>
        </c:spPr>
        <c:dLbl>
          <c:idx val="0"/>
          <c:layout>
            <c:manualLayout>
              <c:x val="6.6666666666666569E-2"/>
              <c:y val="-1.8518518518518604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noFill/>
          </a:ln>
          <a:effectLst/>
        </c:spPr>
        <c:dLbl>
          <c:idx val="0"/>
          <c:layout>
            <c:manualLayout>
              <c:x val="-4.166666666666672E-2"/>
              <c:y val="7.407407407407407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noFill/>
          </a:ln>
          <a:effectLst/>
        </c:spPr>
        <c:dLbl>
          <c:idx val="0"/>
          <c:layout>
            <c:manualLayout>
              <c:x val="-4.166666666666672E-2"/>
              <c:y val="-9.259259259259261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Report'!$M$2</c:f>
              <c:strCache>
                <c:ptCount val="1"/>
                <c:pt idx="0">
                  <c:v>Total</c:v>
                </c:pt>
              </c:strCache>
            </c:strRef>
          </c:tx>
          <c:dPt>
            <c:idx val="0"/>
            <c:bubble3D val="0"/>
            <c:spPr>
              <a:solidFill>
                <a:schemeClr val="accent5">
                  <a:shade val="65000"/>
                </a:schemeClr>
              </a:solidFill>
              <a:ln w="19050">
                <a:noFill/>
              </a:ln>
              <a:effectLst/>
            </c:spPr>
            <c:extLst>
              <c:ext xmlns:c16="http://schemas.microsoft.com/office/drawing/2014/chart" uri="{C3380CC4-5D6E-409C-BE32-E72D297353CC}">
                <c16:uniqueId val="{00000001-A00C-44D0-8B3A-55A45C709A1B}"/>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3-A00C-44D0-8B3A-55A45C709A1B}"/>
              </c:ext>
            </c:extLst>
          </c:dPt>
          <c:dPt>
            <c:idx val="2"/>
            <c:bubble3D val="0"/>
            <c:spPr>
              <a:solidFill>
                <a:schemeClr val="accent5">
                  <a:lumMod val="20000"/>
                  <a:lumOff val="80000"/>
                </a:schemeClr>
              </a:solidFill>
              <a:ln w="19050">
                <a:noFill/>
              </a:ln>
              <a:effectLst/>
            </c:spPr>
            <c:extLst>
              <c:ext xmlns:c16="http://schemas.microsoft.com/office/drawing/2014/chart" uri="{C3380CC4-5D6E-409C-BE32-E72D297353CC}">
                <c16:uniqueId val="{00000005-A00C-44D0-8B3A-55A45C709A1B}"/>
              </c:ext>
            </c:extLst>
          </c:dPt>
          <c:dLbls>
            <c:dLbl>
              <c:idx val="0"/>
              <c:layout>
                <c:manualLayout>
                  <c:x val="6.6666666666666569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0C-44D0-8B3A-55A45C709A1B}"/>
                </c:ext>
              </c:extLst>
            </c:dLbl>
            <c:dLbl>
              <c:idx val="1"/>
              <c:layout>
                <c:manualLayout>
                  <c:x val="-4.16666666666667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0C-44D0-8B3A-55A45C709A1B}"/>
                </c:ext>
              </c:extLst>
            </c:dLbl>
            <c:dLbl>
              <c:idx val="2"/>
              <c:layout>
                <c:manualLayout>
                  <c:x val="-4.166666666666672E-2"/>
                  <c:y val="-9.2592592592592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0C-44D0-8B3A-55A45C709A1B}"/>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Report'!$L$3:$L$6</c:f>
              <c:strCache>
                <c:ptCount val="3"/>
                <c:pt idx="0">
                  <c:v>الإسكندرية</c:v>
                </c:pt>
                <c:pt idx="1">
                  <c:v>القاهرة</c:v>
                </c:pt>
                <c:pt idx="2">
                  <c:v>طنطا</c:v>
                </c:pt>
              </c:strCache>
            </c:strRef>
          </c:cat>
          <c:val>
            <c:numRef>
              <c:f>'Pivot Table Report'!$M$3:$M$6</c:f>
              <c:numCache>
                <c:formatCode>General</c:formatCode>
                <c:ptCount val="3"/>
                <c:pt idx="0">
                  <c:v>46</c:v>
                </c:pt>
                <c:pt idx="1">
                  <c:v>36</c:v>
                </c:pt>
                <c:pt idx="2">
                  <c:v>18</c:v>
                </c:pt>
              </c:numCache>
            </c:numRef>
          </c:val>
          <c:extLst>
            <c:ext xmlns:c16="http://schemas.microsoft.com/office/drawing/2014/chart" uri="{C3380CC4-5D6E-409C-BE32-E72D297353CC}">
              <c16:uniqueId val="{00000006-A00C-44D0-8B3A-55A45C709A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6.86340769903762E-2"/>
          <c:y val="0.8524300087489064"/>
          <c:w val="0.87106517935258088"/>
          <c:h val="0.14756999125109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 Report!PivotTable3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 Min, Max, and Avg Salaries for each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Report'!$B$20</c:f>
              <c:strCache>
                <c:ptCount val="1"/>
                <c:pt idx="0">
                  <c:v>Min Salary</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Report'!$A$21:$A$24</c:f>
              <c:strCache>
                <c:ptCount val="3"/>
                <c:pt idx="0">
                  <c:v>الإسكندرية</c:v>
                </c:pt>
                <c:pt idx="1">
                  <c:v>القاهرة</c:v>
                </c:pt>
                <c:pt idx="2">
                  <c:v>طنطا</c:v>
                </c:pt>
              </c:strCache>
            </c:strRef>
          </c:cat>
          <c:val>
            <c:numRef>
              <c:f>'Pivot Table Report'!$B$21:$B$24</c:f>
              <c:numCache>
                <c:formatCode>General</c:formatCode>
                <c:ptCount val="3"/>
                <c:pt idx="0">
                  <c:v>1428</c:v>
                </c:pt>
                <c:pt idx="1">
                  <c:v>1673</c:v>
                </c:pt>
                <c:pt idx="2">
                  <c:v>1952</c:v>
                </c:pt>
              </c:numCache>
            </c:numRef>
          </c:val>
          <c:extLst>
            <c:ext xmlns:c16="http://schemas.microsoft.com/office/drawing/2014/chart" uri="{C3380CC4-5D6E-409C-BE32-E72D297353CC}">
              <c16:uniqueId val="{00000000-1022-421B-9A95-3022E47CEB53}"/>
            </c:ext>
          </c:extLst>
        </c:ser>
        <c:ser>
          <c:idx val="1"/>
          <c:order val="1"/>
          <c:tx>
            <c:strRef>
              <c:f>'Pivot Table Report'!$C$20</c:f>
              <c:strCache>
                <c:ptCount val="1"/>
                <c:pt idx="0">
                  <c:v>Max Salary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Report'!$A$21:$A$24</c:f>
              <c:strCache>
                <c:ptCount val="3"/>
                <c:pt idx="0">
                  <c:v>الإسكندرية</c:v>
                </c:pt>
                <c:pt idx="1">
                  <c:v>القاهرة</c:v>
                </c:pt>
                <c:pt idx="2">
                  <c:v>طنطا</c:v>
                </c:pt>
              </c:strCache>
            </c:strRef>
          </c:cat>
          <c:val>
            <c:numRef>
              <c:f>'Pivot Table Report'!$C$21:$C$24</c:f>
              <c:numCache>
                <c:formatCode>General</c:formatCode>
                <c:ptCount val="3"/>
                <c:pt idx="0">
                  <c:v>24472</c:v>
                </c:pt>
                <c:pt idx="1">
                  <c:v>35000</c:v>
                </c:pt>
                <c:pt idx="2">
                  <c:v>25000</c:v>
                </c:pt>
              </c:numCache>
            </c:numRef>
          </c:val>
          <c:extLst>
            <c:ext xmlns:c16="http://schemas.microsoft.com/office/drawing/2014/chart" uri="{C3380CC4-5D6E-409C-BE32-E72D297353CC}">
              <c16:uniqueId val="{00000001-1022-421B-9A95-3022E47CEB53}"/>
            </c:ext>
          </c:extLst>
        </c:ser>
        <c:ser>
          <c:idx val="2"/>
          <c:order val="2"/>
          <c:tx>
            <c:strRef>
              <c:f>'Pivot Table Report'!$D$20</c:f>
              <c:strCache>
                <c:ptCount val="1"/>
                <c:pt idx="0">
                  <c:v>Average Salary</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Report'!$A$21:$A$24</c:f>
              <c:strCache>
                <c:ptCount val="3"/>
                <c:pt idx="0">
                  <c:v>الإسكندرية</c:v>
                </c:pt>
                <c:pt idx="1">
                  <c:v>القاهرة</c:v>
                </c:pt>
                <c:pt idx="2">
                  <c:v>طنطا</c:v>
                </c:pt>
              </c:strCache>
            </c:strRef>
          </c:cat>
          <c:val>
            <c:numRef>
              <c:f>'Pivot Table Report'!$D$21:$D$24</c:f>
              <c:numCache>
                <c:formatCode>General</c:formatCode>
                <c:ptCount val="3"/>
                <c:pt idx="0">
                  <c:v>13369.434782608696</c:v>
                </c:pt>
                <c:pt idx="1">
                  <c:v>13490</c:v>
                </c:pt>
                <c:pt idx="2">
                  <c:v>12029.333333333334</c:v>
                </c:pt>
              </c:numCache>
            </c:numRef>
          </c:val>
          <c:extLst>
            <c:ext xmlns:c16="http://schemas.microsoft.com/office/drawing/2014/chart" uri="{C3380CC4-5D6E-409C-BE32-E72D297353CC}">
              <c16:uniqueId val="{00000002-1022-421B-9A95-3022E47CEB53}"/>
            </c:ext>
          </c:extLst>
        </c:ser>
        <c:dLbls>
          <c:dLblPos val="outEnd"/>
          <c:showLegendKey val="0"/>
          <c:showVal val="1"/>
          <c:showCatName val="0"/>
          <c:showSerName val="0"/>
          <c:showPercent val="0"/>
          <c:showBubbleSize val="0"/>
        </c:dLbls>
        <c:gapWidth val="182"/>
        <c:axId val="246493727"/>
        <c:axId val="246496607"/>
      </c:barChart>
      <c:catAx>
        <c:axId val="246493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46496607"/>
        <c:crosses val="autoZero"/>
        <c:auto val="1"/>
        <c:lblAlgn val="ctr"/>
        <c:lblOffset val="100"/>
        <c:noMultiLvlLbl val="0"/>
      </c:catAx>
      <c:valAx>
        <c:axId val="246496607"/>
        <c:scaling>
          <c:orientation val="minMax"/>
        </c:scaling>
        <c:delete val="1"/>
        <c:axPos val="b"/>
        <c:numFmt formatCode="General" sourceLinked="1"/>
        <c:majorTickMark val="out"/>
        <c:minorTickMark val="none"/>
        <c:tickLblPos val="nextTo"/>
        <c:crossAx val="2464937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[Report.xlsx]Pivot Table Report!PivotTable4</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 Total Salaries for each Job role at each Site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Report'!$G$2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Report'!$F$3:$F$34</c:f>
              <c:multiLvlStrCache>
                <c:ptCount val="28"/>
                <c:lvl>
                  <c:pt idx="0">
                    <c:v>Accountant</c:v>
                  </c:pt>
                  <c:pt idx="1">
                    <c:v>Digital marketing specialist</c:v>
                  </c:pt>
                  <c:pt idx="2">
                    <c:v>HR Coordinator</c:v>
                  </c:pt>
                  <c:pt idx="3">
                    <c:v>HR Manager</c:v>
                  </c:pt>
                  <c:pt idx="4">
                    <c:v>HR Specialist</c:v>
                  </c:pt>
                  <c:pt idx="5">
                    <c:v>Marketing Manager</c:v>
                  </c:pt>
                  <c:pt idx="6">
                    <c:v>Products Marketing Coordinator</c:v>
                  </c:pt>
                  <c:pt idx="7">
                    <c:v>Recruitment Specialsit</c:v>
                  </c:pt>
                  <c:pt idx="8">
                    <c:v>Sales rep.</c:v>
                  </c:pt>
                  <c:pt idx="9">
                    <c:v>Software developer</c:v>
                  </c:pt>
                  <c:pt idx="10">
                    <c:v>Accountant</c:v>
                  </c:pt>
                  <c:pt idx="11">
                    <c:v>Digital marketing specialist</c:v>
                  </c:pt>
                  <c:pt idx="12">
                    <c:v>Financial Manager</c:v>
                  </c:pt>
                  <c:pt idx="13">
                    <c:v>HR Coordinator</c:v>
                  </c:pt>
                  <c:pt idx="14">
                    <c:v>HR Specialist</c:v>
                  </c:pt>
                  <c:pt idx="15">
                    <c:v>Products Marketing Coordinator</c:v>
                  </c:pt>
                  <c:pt idx="16">
                    <c:v>Recruitment Specialsit</c:v>
                  </c:pt>
                  <c:pt idx="17">
                    <c:v>Sales Manager</c:v>
                  </c:pt>
                  <c:pt idx="18">
                    <c:v>Sales rep.</c:v>
                  </c:pt>
                  <c:pt idx="19">
                    <c:v>Software developer</c:v>
                  </c:pt>
                  <c:pt idx="20">
                    <c:v>Accountant</c:v>
                  </c:pt>
                  <c:pt idx="21">
                    <c:v>HR Coordinator</c:v>
                  </c:pt>
                  <c:pt idx="22">
                    <c:v>HR Specialist</c:v>
                  </c:pt>
                  <c:pt idx="23">
                    <c:v>IT Manager</c:v>
                  </c:pt>
                  <c:pt idx="24">
                    <c:v>Products Marketing Coordinator</c:v>
                  </c:pt>
                  <c:pt idx="25">
                    <c:v>Recruitment Specialsit</c:v>
                  </c:pt>
                  <c:pt idx="26">
                    <c:v>Sales rep.</c:v>
                  </c:pt>
                  <c:pt idx="27">
                    <c:v>Software developer</c:v>
                  </c:pt>
                </c:lvl>
                <c:lvl>
                  <c:pt idx="0">
                    <c:v>الإسكندرية</c:v>
                  </c:pt>
                  <c:pt idx="10">
                    <c:v>القاهرة</c:v>
                  </c:pt>
                  <c:pt idx="20">
                    <c:v>طنطا</c:v>
                  </c:pt>
                </c:lvl>
              </c:multiLvlStrCache>
            </c:multiLvlStrRef>
          </c:cat>
          <c:val>
            <c:numRef>
              <c:f>'Pivot Table Report'!$G$3:$G$34</c:f>
              <c:numCache>
                <c:formatCode>General</c:formatCode>
                <c:ptCount val="28"/>
                <c:pt idx="0">
                  <c:v>40334</c:v>
                </c:pt>
                <c:pt idx="1">
                  <c:v>42080</c:v>
                </c:pt>
                <c:pt idx="2">
                  <c:v>11445</c:v>
                </c:pt>
                <c:pt idx="3">
                  <c:v>20500</c:v>
                </c:pt>
                <c:pt idx="4">
                  <c:v>37121</c:v>
                </c:pt>
                <c:pt idx="5">
                  <c:v>21575</c:v>
                </c:pt>
                <c:pt idx="6">
                  <c:v>105488</c:v>
                </c:pt>
                <c:pt idx="7">
                  <c:v>66243</c:v>
                </c:pt>
                <c:pt idx="8">
                  <c:v>198100</c:v>
                </c:pt>
                <c:pt idx="9">
                  <c:v>72108</c:v>
                </c:pt>
                <c:pt idx="10">
                  <c:v>32020</c:v>
                </c:pt>
                <c:pt idx="11">
                  <c:v>25638</c:v>
                </c:pt>
                <c:pt idx="12">
                  <c:v>26520</c:v>
                </c:pt>
                <c:pt idx="13">
                  <c:v>32267</c:v>
                </c:pt>
                <c:pt idx="14">
                  <c:v>6178</c:v>
                </c:pt>
                <c:pt idx="15">
                  <c:v>54571</c:v>
                </c:pt>
                <c:pt idx="16">
                  <c:v>21765</c:v>
                </c:pt>
                <c:pt idx="17">
                  <c:v>35000</c:v>
                </c:pt>
                <c:pt idx="18">
                  <c:v>240525</c:v>
                </c:pt>
                <c:pt idx="19">
                  <c:v>11156</c:v>
                </c:pt>
                <c:pt idx="20">
                  <c:v>40893</c:v>
                </c:pt>
                <c:pt idx="21">
                  <c:v>29348</c:v>
                </c:pt>
                <c:pt idx="22">
                  <c:v>20121</c:v>
                </c:pt>
                <c:pt idx="23">
                  <c:v>50000</c:v>
                </c:pt>
                <c:pt idx="24">
                  <c:v>15730</c:v>
                </c:pt>
                <c:pt idx="25">
                  <c:v>19987</c:v>
                </c:pt>
                <c:pt idx="26">
                  <c:v>36545</c:v>
                </c:pt>
                <c:pt idx="27">
                  <c:v>3904</c:v>
                </c:pt>
              </c:numCache>
            </c:numRef>
          </c:val>
          <c:extLst>
            <c:ext xmlns:c16="http://schemas.microsoft.com/office/drawing/2014/chart" uri="{C3380CC4-5D6E-409C-BE32-E72D297353CC}">
              <c16:uniqueId val="{00000000-EDC4-4970-8449-8849E0AA5C7A}"/>
            </c:ext>
          </c:extLst>
        </c:ser>
        <c:dLbls>
          <c:dLblPos val="outEnd"/>
          <c:showLegendKey val="0"/>
          <c:showVal val="1"/>
          <c:showCatName val="0"/>
          <c:showSerName val="0"/>
          <c:showPercent val="0"/>
          <c:showBubbleSize val="0"/>
        </c:dLbls>
        <c:gapWidth val="219"/>
        <c:overlap val="-27"/>
        <c:axId val="246492287"/>
        <c:axId val="246493247"/>
      </c:barChart>
      <c:catAx>
        <c:axId val="24649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93247"/>
        <c:crosses val="autoZero"/>
        <c:auto val="1"/>
        <c:lblAlgn val="ctr"/>
        <c:lblOffset val="100"/>
        <c:noMultiLvlLbl val="0"/>
      </c:catAx>
      <c:valAx>
        <c:axId val="246493247"/>
        <c:scaling>
          <c:orientation val="minMax"/>
        </c:scaling>
        <c:delete val="1"/>
        <c:axPos val="l"/>
        <c:numFmt formatCode="General" sourceLinked="1"/>
        <c:majorTickMark val="none"/>
        <c:minorTickMark val="none"/>
        <c:tickLblPos val="nextTo"/>
        <c:crossAx val="24649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 Report!PivotTable1</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Avg. Emp Per in 2019&amp;2020 and Avg Per Change  for each Site</a:t>
            </a:r>
          </a:p>
        </c:rich>
      </c:tx>
      <c:layout>
        <c:manualLayout>
          <c:xMode val="edge"/>
          <c:yMode val="edge"/>
          <c:x val="3.7409575391757537E-2"/>
          <c:y val="1.83129771979668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Report'!$B$2</c:f>
              <c:strCache>
                <c:ptCount val="1"/>
                <c:pt idx="0">
                  <c:v>Average of PER 2020</c:v>
                </c:pt>
              </c:strCache>
            </c:strRef>
          </c:tx>
          <c:spPr>
            <a:solidFill>
              <a:schemeClr val="accent2"/>
            </a:solidFill>
            <a:ln>
              <a:noFill/>
            </a:ln>
            <a:effectLst/>
          </c:spPr>
          <c:invertIfNegative val="0"/>
          <c:cat>
            <c:strRef>
              <c:f>'Pivot Table Report'!$A$3:$A$6</c:f>
              <c:strCache>
                <c:ptCount val="3"/>
                <c:pt idx="0">
                  <c:v>القاهرة</c:v>
                </c:pt>
                <c:pt idx="1">
                  <c:v>طنطا</c:v>
                </c:pt>
                <c:pt idx="2">
                  <c:v>الإسكندرية</c:v>
                </c:pt>
              </c:strCache>
            </c:strRef>
          </c:cat>
          <c:val>
            <c:numRef>
              <c:f>'Pivot Table Report'!$B$3:$B$6</c:f>
              <c:numCache>
                <c:formatCode>0%</c:formatCode>
                <c:ptCount val="3"/>
                <c:pt idx="0">
                  <c:v>0.77249999999999996</c:v>
                </c:pt>
                <c:pt idx="1">
                  <c:v>0.73055555555555562</c:v>
                </c:pt>
                <c:pt idx="2">
                  <c:v>0.65760869565217395</c:v>
                </c:pt>
              </c:numCache>
            </c:numRef>
          </c:val>
          <c:extLst>
            <c:ext xmlns:c16="http://schemas.microsoft.com/office/drawing/2014/chart" uri="{C3380CC4-5D6E-409C-BE32-E72D297353CC}">
              <c16:uniqueId val="{00000000-FC0C-44CC-ACDE-A0D8A5D77234}"/>
            </c:ext>
          </c:extLst>
        </c:ser>
        <c:ser>
          <c:idx val="1"/>
          <c:order val="1"/>
          <c:tx>
            <c:strRef>
              <c:f>'Pivot Table Report'!$C$2</c:f>
              <c:strCache>
                <c:ptCount val="1"/>
                <c:pt idx="0">
                  <c:v>Average of PER 2019</c:v>
                </c:pt>
              </c:strCache>
            </c:strRef>
          </c:tx>
          <c:spPr>
            <a:solidFill>
              <a:schemeClr val="accent4"/>
            </a:solidFill>
            <a:ln>
              <a:noFill/>
            </a:ln>
            <a:effectLst/>
          </c:spPr>
          <c:invertIfNegative val="0"/>
          <c:cat>
            <c:strRef>
              <c:f>'Pivot Table Report'!$A$3:$A$6</c:f>
              <c:strCache>
                <c:ptCount val="3"/>
                <c:pt idx="0">
                  <c:v>القاهرة</c:v>
                </c:pt>
                <c:pt idx="1">
                  <c:v>طنطا</c:v>
                </c:pt>
                <c:pt idx="2">
                  <c:v>الإسكندرية</c:v>
                </c:pt>
              </c:strCache>
            </c:strRef>
          </c:cat>
          <c:val>
            <c:numRef>
              <c:f>'Pivot Table Report'!$C$3:$C$6</c:f>
              <c:numCache>
                <c:formatCode>0%</c:formatCode>
                <c:ptCount val="3"/>
                <c:pt idx="0">
                  <c:v>0.81972222222222235</c:v>
                </c:pt>
                <c:pt idx="1">
                  <c:v>0.81833333333333347</c:v>
                </c:pt>
                <c:pt idx="2">
                  <c:v>0.8171739130434782</c:v>
                </c:pt>
              </c:numCache>
            </c:numRef>
          </c:val>
          <c:extLst>
            <c:ext xmlns:c16="http://schemas.microsoft.com/office/drawing/2014/chart" uri="{C3380CC4-5D6E-409C-BE32-E72D297353CC}">
              <c16:uniqueId val="{00000001-FC0C-44CC-ACDE-A0D8A5D77234}"/>
            </c:ext>
          </c:extLst>
        </c:ser>
        <c:dLbls>
          <c:showLegendKey val="0"/>
          <c:showVal val="0"/>
          <c:showCatName val="0"/>
          <c:showSerName val="0"/>
          <c:showPercent val="0"/>
          <c:showBubbleSize val="0"/>
        </c:dLbls>
        <c:gapWidth val="219"/>
        <c:overlap val="-27"/>
        <c:axId val="371723999"/>
        <c:axId val="371725919"/>
      </c:barChart>
      <c:lineChart>
        <c:grouping val="standard"/>
        <c:varyColors val="0"/>
        <c:ser>
          <c:idx val="2"/>
          <c:order val="2"/>
          <c:tx>
            <c:strRef>
              <c:f>'Pivot Table Report'!$D$2</c:f>
              <c:strCache>
                <c:ptCount val="1"/>
                <c:pt idx="0">
                  <c:v>Average of Delta</c:v>
                </c:pt>
              </c:strCache>
            </c:strRef>
          </c:tx>
          <c:spPr>
            <a:ln w="28575" cap="rnd">
              <a:solidFill>
                <a:schemeClr val="accent6"/>
              </a:solidFill>
              <a:round/>
            </a:ln>
            <a:effectLst/>
          </c:spPr>
          <c:marker>
            <c:symbol val="none"/>
          </c:marker>
          <c:cat>
            <c:strRef>
              <c:f>'Pivot Table Report'!$A$3:$A$6</c:f>
              <c:strCache>
                <c:ptCount val="3"/>
                <c:pt idx="0">
                  <c:v>القاهرة</c:v>
                </c:pt>
                <c:pt idx="1">
                  <c:v>طنطا</c:v>
                </c:pt>
                <c:pt idx="2">
                  <c:v>الإسكندرية</c:v>
                </c:pt>
              </c:strCache>
            </c:strRef>
          </c:cat>
          <c:val>
            <c:numRef>
              <c:f>'Pivot Table Report'!$D$3:$D$6</c:f>
              <c:numCache>
                <c:formatCode>\+0.00;\-0.00;0.00</c:formatCode>
                <c:ptCount val="3"/>
                <c:pt idx="0">
                  <c:v>-4.7222222222222242E-2</c:v>
                </c:pt>
                <c:pt idx="1">
                  <c:v>-8.7777777777777788E-2</c:v>
                </c:pt>
                <c:pt idx="2">
                  <c:v>-0.15956521739130433</c:v>
                </c:pt>
              </c:numCache>
            </c:numRef>
          </c:val>
          <c:smooth val="0"/>
          <c:extLst>
            <c:ext xmlns:c16="http://schemas.microsoft.com/office/drawing/2014/chart" uri="{C3380CC4-5D6E-409C-BE32-E72D297353CC}">
              <c16:uniqueId val="{00000002-FC0C-44CC-ACDE-A0D8A5D77234}"/>
            </c:ext>
          </c:extLst>
        </c:ser>
        <c:dLbls>
          <c:showLegendKey val="0"/>
          <c:showVal val="0"/>
          <c:showCatName val="0"/>
          <c:showSerName val="0"/>
          <c:showPercent val="0"/>
          <c:showBubbleSize val="0"/>
        </c:dLbls>
        <c:marker val="1"/>
        <c:smooth val="0"/>
        <c:axId val="371309727"/>
        <c:axId val="371310207"/>
      </c:lineChart>
      <c:catAx>
        <c:axId val="37172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71725919"/>
        <c:crosses val="autoZero"/>
        <c:auto val="1"/>
        <c:lblAlgn val="ctr"/>
        <c:lblOffset val="100"/>
        <c:noMultiLvlLbl val="0"/>
      </c:catAx>
      <c:valAx>
        <c:axId val="37172591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71723999"/>
        <c:crosses val="autoZero"/>
        <c:crossBetween val="between"/>
      </c:valAx>
      <c:valAx>
        <c:axId val="371310207"/>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71309727"/>
        <c:crosses val="max"/>
        <c:crossBetween val="between"/>
      </c:valAx>
      <c:catAx>
        <c:axId val="371309727"/>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71310207"/>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 Report!PivotTable2</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mn-lt"/>
              </a:rPr>
              <a:t>Avg Years of Exp &amp; Age of Emp for each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Report'!$B$11</c:f>
              <c:strCache>
                <c:ptCount val="1"/>
                <c:pt idx="0">
                  <c:v>Average of Years of Experience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Report'!$A$12:$A$15</c:f>
              <c:strCache>
                <c:ptCount val="3"/>
                <c:pt idx="0">
                  <c:v>الإسكندرية</c:v>
                </c:pt>
                <c:pt idx="1">
                  <c:v>القاهرة</c:v>
                </c:pt>
                <c:pt idx="2">
                  <c:v>طنطا</c:v>
                </c:pt>
              </c:strCache>
            </c:strRef>
          </c:cat>
          <c:val>
            <c:numRef>
              <c:f>'Pivot Table Report'!$B$12:$B$15</c:f>
              <c:numCache>
                <c:formatCode>0</c:formatCode>
                <c:ptCount val="3"/>
                <c:pt idx="0">
                  <c:v>15.108695652173912</c:v>
                </c:pt>
                <c:pt idx="1">
                  <c:v>13.722222222222221</c:v>
                </c:pt>
                <c:pt idx="2">
                  <c:v>13.444444444444445</c:v>
                </c:pt>
              </c:numCache>
            </c:numRef>
          </c:val>
          <c:extLst>
            <c:ext xmlns:c16="http://schemas.microsoft.com/office/drawing/2014/chart" uri="{C3380CC4-5D6E-409C-BE32-E72D297353CC}">
              <c16:uniqueId val="{00000000-8451-400B-91FE-A2E5DD8CCEE6}"/>
            </c:ext>
          </c:extLst>
        </c:ser>
        <c:ser>
          <c:idx val="1"/>
          <c:order val="1"/>
          <c:tx>
            <c:strRef>
              <c:f>'Pivot Table Report'!$C$11</c:f>
              <c:strCache>
                <c:ptCount val="1"/>
                <c:pt idx="0">
                  <c:v>Average of 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Report'!$A$12:$A$15</c:f>
              <c:strCache>
                <c:ptCount val="3"/>
                <c:pt idx="0">
                  <c:v>الإسكندرية</c:v>
                </c:pt>
                <c:pt idx="1">
                  <c:v>القاهرة</c:v>
                </c:pt>
                <c:pt idx="2">
                  <c:v>طنطا</c:v>
                </c:pt>
              </c:strCache>
            </c:strRef>
          </c:cat>
          <c:val>
            <c:numRef>
              <c:f>'Pivot Table Report'!$C$12:$C$15</c:f>
              <c:numCache>
                <c:formatCode>0</c:formatCode>
                <c:ptCount val="3"/>
                <c:pt idx="0">
                  <c:v>51.195652173913047</c:v>
                </c:pt>
                <c:pt idx="1">
                  <c:v>50.583333333333336</c:v>
                </c:pt>
                <c:pt idx="2">
                  <c:v>49.5</c:v>
                </c:pt>
              </c:numCache>
            </c:numRef>
          </c:val>
          <c:extLst>
            <c:ext xmlns:c16="http://schemas.microsoft.com/office/drawing/2014/chart" uri="{C3380CC4-5D6E-409C-BE32-E72D297353CC}">
              <c16:uniqueId val="{00000001-8451-400B-91FE-A2E5DD8CCEE6}"/>
            </c:ext>
          </c:extLst>
        </c:ser>
        <c:dLbls>
          <c:dLblPos val="ctr"/>
          <c:showLegendKey val="0"/>
          <c:showVal val="1"/>
          <c:showCatName val="0"/>
          <c:showSerName val="0"/>
          <c:showPercent val="0"/>
          <c:showBubbleSize val="0"/>
        </c:dLbls>
        <c:gapWidth val="150"/>
        <c:overlap val="100"/>
        <c:axId val="898301839"/>
        <c:axId val="898298959"/>
      </c:barChart>
      <c:catAx>
        <c:axId val="89830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98959"/>
        <c:crosses val="autoZero"/>
        <c:auto val="1"/>
        <c:lblAlgn val="ctr"/>
        <c:lblOffset val="100"/>
        <c:noMultiLvlLbl val="0"/>
      </c:catAx>
      <c:valAx>
        <c:axId val="8982989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01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[Report.xlsx]Pivot Table Report!PivotTable7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Total Salaries for each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dLbl>
          <c:idx val="0"/>
          <c:layout>
            <c:manualLayout>
              <c:x val="0.13307357855828983"/>
              <c:y val="-0.1133089187557766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0.11298700066269891"/>
              <c:y val="7.7899881644596422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tint val="65000"/>
            </a:schemeClr>
          </a:solidFill>
          <a:ln w="19050">
            <a:solidFill>
              <a:schemeClr val="lt1"/>
            </a:solidFill>
          </a:ln>
          <a:effectLst/>
        </c:spPr>
        <c:dLbl>
          <c:idx val="0"/>
          <c:layout>
            <c:manualLayout>
              <c:x val="-0.12051946737354551"/>
              <c:y val="-8.8522592777950479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Report'!$M$9</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E640-4CE5-93B2-81F3357BA35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640-4CE5-93B2-81F3357BA35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E640-4CE5-93B2-81F3357BA356}"/>
              </c:ext>
            </c:extLst>
          </c:dPt>
          <c:dLbls>
            <c:dLbl>
              <c:idx val="0"/>
              <c:layout>
                <c:manualLayout>
                  <c:x val="0.13307357855828983"/>
                  <c:y val="-0.11330891875577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0-4CE5-93B2-81F3357BA356}"/>
                </c:ext>
              </c:extLst>
            </c:dLbl>
            <c:dLbl>
              <c:idx val="1"/>
              <c:layout>
                <c:manualLayout>
                  <c:x val="-0.11298700066269891"/>
                  <c:y val="7.7899881644596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0-4CE5-93B2-81F3357BA356}"/>
                </c:ext>
              </c:extLst>
            </c:dLbl>
            <c:dLbl>
              <c:idx val="2"/>
              <c:layout>
                <c:manualLayout>
                  <c:x val="-0.12051946737354551"/>
                  <c:y val="-8.8522592777950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0-4CE5-93B2-81F3357BA356}"/>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Report'!$L$10:$L$13</c:f>
              <c:strCache>
                <c:ptCount val="3"/>
                <c:pt idx="0">
                  <c:v>الإسكندرية</c:v>
                </c:pt>
                <c:pt idx="1">
                  <c:v>القاهرة</c:v>
                </c:pt>
                <c:pt idx="2">
                  <c:v>طنطا</c:v>
                </c:pt>
              </c:strCache>
            </c:strRef>
          </c:cat>
          <c:val>
            <c:numRef>
              <c:f>'Pivot Table Report'!$M$10:$M$13</c:f>
              <c:numCache>
                <c:formatCode>General</c:formatCode>
                <c:ptCount val="3"/>
                <c:pt idx="0">
                  <c:v>614994</c:v>
                </c:pt>
                <c:pt idx="1">
                  <c:v>485640</c:v>
                </c:pt>
                <c:pt idx="2">
                  <c:v>216528</c:v>
                </c:pt>
              </c:numCache>
            </c:numRef>
          </c:val>
          <c:extLst>
            <c:ext xmlns:c16="http://schemas.microsoft.com/office/drawing/2014/chart" uri="{C3380CC4-5D6E-409C-BE32-E72D297353CC}">
              <c16:uniqueId val="{00000006-E640-4CE5-93B2-81F3357BA35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[Report.xlsx]Pivot Table Report!PivotTable6</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Academic Level VS no. of Employees at each Site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Report'!$M$16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Report'!$L$17:$L$29</c:f>
              <c:multiLvlStrCache>
                <c:ptCount val="9"/>
                <c:lvl>
                  <c:pt idx="0">
                    <c:v>بكالوريوس</c:v>
                  </c:pt>
                  <c:pt idx="1">
                    <c:v>دبلوم</c:v>
                  </c:pt>
                  <c:pt idx="2">
                    <c:v>ماجستير</c:v>
                  </c:pt>
                  <c:pt idx="3">
                    <c:v>بكالوريوس</c:v>
                  </c:pt>
                  <c:pt idx="4">
                    <c:v>دبلوم</c:v>
                  </c:pt>
                  <c:pt idx="5">
                    <c:v>ماجستير</c:v>
                  </c:pt>
                  <c:pt idx="6">
                    <c:v>بكالوريوس</c:v>
                  </c:pt>
                  <c:pt idx="7">
                    <c:v>دبلوم</c:v>
                  </c:pt>
                  <c:pt idx="8">
                    <c:v>ماجستير</c:v>
                  </c:pt>
                </c:lvl>
                <c:lvl>
                  <c:pt idx="0">
                    <c:v>الإسكندرية</c:v>
                  </c:pt>
                  <c:pt idx="3">
                    <c:v>القاهرة</c:v>
                  </c:pt>
                  <c:pt idx="6">
                    <c:v>طنطا</c:v>
                  </c:pt>
                </c:lvl>
              </c:multiLvlStrCache>
            </c:multiLvlStrRef>
          </c:cat>
          <c:val>
            <c:numRef>
              <c:f>'Pivot Table Report'!$M$17:$M$29</c:f>
              <c:numCache>
                <c:formatCode>General</c:formatCode>
                <c:ptCount val="9"/>
                <c:pt idx="0">
                  <c:v>27</c:v>
                </c:pt>
                <c:pt idx="1">
                  <c:v>18</c:v>
                </c:pt>
                <c:pt idx="2">
                  <c:v>1</c:v>
                </c:pt>
                <c:pt idx="3">
                  <c:v>21</c:v>
                </c:pt>
                <c:pt idx="4">
                  <c:v>14</c:v>
                </c:pt>
                <c:pt idx="5">
                  <c:v>1</c:v>
                </c:pt>
                <c:pt idx="6">
                  <c:v>12</c:v>
                </c:pt>
                <c:pt idx="7">
                  <c:v>4</c:v>
                </c:pt>
                <c:pt idx="8">
                  <c:v>2</c:v>
                </c:pt>
              </c:numCache>
            </c:numRef>
          </c:val>
          <c:smooth val="0"/>
          <c:extLst>
            <c:ext xmlns:c16="http://schemas.microsoft.com/office/drawing/2014/chart" uri="{C3380CC4-5D6E-409C-BE32-E72D297353CC}">
              <c16:uniqueId val="{00000000-DD89-4A12-B29E-83882F52606D}"/>
            </c:ext>
          </c:extLst>
        </c:ser>
        <c:dLbls>
          <c:dLblPos val="t"/>
          <c:showLegendKey val="0"/>
          <c:showVal val="1"/>
          <c:showCatName val="0"/>
          <c:showSerName val="0"/>
          <c:showPercent val="0"/>
          <c:showBubbleSize val="0"/>
        </c:dLbls>
        <c:smooth val="0"/>
        <c:axId val="1362976592"/>
        <c:axId val="1362983792"/>
      </c:lineChart>
      <c:catAx>
        <c:axId val="136297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83792"/>
        <c:crosses val="autoZero"/>
        <c:auto val="1"/>
        <c:lblAlgn val="ctr"/>
        <c:lblOffset val="100"/>
        <c:noMultiLvlLbl val="0"/>
      </c:catAx>
      <c:valAx>
        <c:axId val="1362983792"/>
        <c:scaling>
          <c:orientation val="minMax"/>
        </c:scaling>
        <c:delete val="1"/>
        <c:axPos val="l"/>
        <c:numFmt formatCode="General" sourceLinked="1"/>
        <c:majorTickMark val="none"/>
        <c:minorTickMark val="none"/>
        <c:tickLblPos val="nextTo"/>
        <c:crossAx val="136297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 Report!PivotTable5</c:name>
    <c:fmtId val="12"/>
  </c:pivotSource>
  <c:chart>
    <c:title>
      <c:tx>
        <c:rich>
          <a:bodyPr rot="0" spcFirstLastPara="1" vertOverflow="ellipsis" vert="horz" wrap="square" anchor="ctr" anchorCtr="1"/>
          <a:lstStyle/>
          <a:p>
            <a:pPr>
              <a:defRPr sz="1800" b="0" i="0" u="none" strike="noStrike" kern="1200" cap="all" spc="50" baseline="0">
                <a:solidFill>
                  <a:schemeClr val="tx1">
                    <a:lumMod val="65000"/>
                    <a:lumOff val="35000"/>
                  </a:schemeClr>
                </a:solidFill>
                <a:latin typeface="+mn-lt"/>
                <a:ea typeface="+mn-ea"/>
                <a:cs typeface="+mn-cs"/>
              </a:defRPr>
            </a:pPr>
            <a:r>
              <a:rPr lang="en-US" b="0"/>
              <a:t>No. of Emp per Job role at each Site</a:t>
            </a:r>
          </a:p>
        </c:rich>
      </c:tx>
      <c:overlay val="0"/>
      <c:spPr>
        <a:noFill/>
        <a:ln>
          <a:noFill/>
        </a:ln>
        <a:effectLst/>
      </c:spPr>
      <c:txPr>
        <a:bodyPr rot="0" spcFirstLastPara="1" vertOverflow="ellipsis" vert="horz" wrap="square" anchor="ctr" anchorCtr="1"/>
        <a:lstStyle/>
        <a:p>
          <a:pPr>
            <a:defRPr sz="18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21056649586396"/>
          <c:y val="0.12584044703324215"/>
          <c:w val="0.70458991259187465"/>
          <c:h val="0.83774870559327097"/>
        </c:manualLayout>
      </c:layout>
      <c:barChart>
        <c:barDir val="bar"/>
        <c:grouping val="clustered"/>
        <c:varyColors val="0"/>
        <c:ser>
          <c:idx val="0"/>
          <c:order val="0"/>
          <c:tx>
            <c:strRef>
              <c:f>'Pivot Table Report'!$J$2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 Report'!$I$3:$I$34</c:f>
              <c:multiLvlStrCache>
                <c:ptCount val="28"/>
                <c:lvl>
                  <c:pt idx="0">
                    <c:v>Accountant</c:v>
                  </c:pt>
                  <c:pt idx="1">
                    <c:v>Digital marketing specialist</c:v>
                  </c:pt>
                  <c:pt idx="2">
                    <c:v>HR Coordinator</c:v>
                  </c:pt>
                  <c:pt idx="3">
                    <c:v>HR Manager</c:v>
                  </c:pt>
                  <c:pt idx="4">
                    <c:v>HR Specialist</c:v>
                  </c:pt>
                  <c:pt idx="5">
                    <c:v>Marketing Manager</c:v>
                  </c:pt>
                  <c:pt idx="6">
                    <c:v>Products Marketing Coordinator</c:v>
                  </c:pt>
                  <c:pt idx="7">
                    <c:v>Recruitment Specialsit</c:v>
                  </c:pt>
                  <c:pt idx="8">
                    <c:v>Sales rep.</c:v>
                  </c:pt>
                  <c:pt idx="9">
                    <c:v>Software developer</c:v>
                  </c:pt>
                  <c:pt idx="10">
                    <c:v>Accountant</c:v>
                  </c:pt>
                  <c:pt idx="11">
                    <c:v>Digital marketing specialist</c:v>
                  </c:pt>
                  <c:pt idx="12">
                    <c:v>Financial Manager</c:v>
                  </c:pt>
                  <c:pt idx="13">
                    <c:v>HR Coordinator</c:v>
                  </c:pt>
                  <c:pt idx="14">
                    <c:v>HR Specialist</c:v>
                  </c:pt>
                  <c:pt idx="15">
                    <c:v>Products Marketing Coordinator</c:v>
                  </c:pt>
                  <c:pt idx="16">
                    <c:v>Recruitment Specialsit</c:v>
                  </c:pt>
                  <c:pt idx="17">
                    <c:v>Sales Manager</c:v>
                  </c:pt>
                  <c:pt idx="18">
                    <c:v>Sales rep.</c:v>
                  </c:pt>
                  <c:pt idx="19">
                    <c:v>Software developer</c:v>
                  </c:pt>
                  <c:pt idx="20">
                    <c:v>Accountant</c:v>
                  </c:pt>
                  <c:pt idx="21">
                    <c:v>HR Coordinator</c:v>
                  </c:pt>
                  <c:pt idx="22">
                    <c:v>HR Specialist</c:v>
                  </c:pt>
                  <c:pt idx="23">
                    <c:v>IT Manager</c:v>
                  </c:pt>
                  <c:pt idx="24">
                    <c:v>Products Marketing Coordinator</c:v>
                  </c:pt>
                  <c:pt idx="25">
                    <c:v>Recruitment Specialsit</c:v>
                  </c:pt>
                  <c:pt idx="26">
                    <c:v>Sales rep.</c:v>
                  </c:pt>
                  <c:pt idx="27">
                    <c:v>Software developer</c:v>
                  </c:pt>
                </c:lvl>
                <c:lvl>
                  <c:pt idx="0">
                    <c:v>الإسكندرية</c:v>
                  </c:pt>
                  <c:pt idx="10">
                    <c:v>القاهرة</c:v>
                  </c:pt>
                  <c:pt idx="20">
                    <c:v>طنطا</c:v>
                  </c:pt>
                </c:lvl>
              </c:multiLvlStrCache>
            </c:multiLvlStrRef>
          </c:cat>
          <c:val>
            <c:numRef>
              <c:f>'Pivot Table Report'!$J$3:$J$34</c:f>
              <c:numCache>
                <c:formatCode>General</c:formatCode>
                <c:ptCount val="28"/>
                <c:pt idx="0">
                  <c:v>2</c:v>
                </c:pt>
                <c:pt idx="1">
                  <c:v>2</c:v>
                </c:pt>
                <c:pt idx="2">
                  <c:v>1</c:v>
                </c:pt>
                <c:pt idx="3">
                  <c:v>1</c:v>
                </c:pt>
                <c:pt idx="4">
                  <c:v>3</c:v>
                </c:pt>
                <c:pt idx="5">
                  <c:v>1</c:v>
                </c:pt>
                <c:pt idx="6">
                  <c:v>6</c:v>
                </c:pt>
                <c:pt idx="7">
                  <c:v>6</c:v>
                </c:pt>
                <c:pt idx="8">
                  <c:v>18</c:v>
                </c:pt>
                <c:pt idx="9">
                  <c:v>6</c:v>
                </c:pt>
                <c:pt idx="10">
                  <c:v>3</c:v>
                </c:pt>
                <c:pt idx="11">
                  <c:v>3</c:v>
                </c:pt>
                <c:pt idx="12">
                  <c:v>1</c:v>
                </c:pt>
                <c:pt idx="13">
                  <c:v>2</c:v>
                </c:pt>
                <c:pt idx="14">
                  <c:v>2</c:v>
                </c:pt>
                <c:pt idx="15">
                  <c:v>5</c:v>
                </c:pt>
                <c:pt idx="16">
                  <c:v>3</c:v>
                </c:pt>
                <c:pt idx="17">
                  <c:v>1</c:v>
                </c:pt>
                <c:pt idx="18">
                  <c:v>14</c:v>
                </c:pt>
                <c:pt idx="19">
                  <c:v>2</c:v>
                </c:pt>
                <c:pt idx="20">
                  <c:v>4</c:v>
                </c:pt>
                <c:pt idx="21">
                  <c:v>3</c:v>
                </c:pt>
                <c:pt idx="22">
                  <c:v>1</c:v>
                </c:pt>
                <c:pt idx="23">
                  <c:v>2</c:v>
                </c:pt>
                <c:pt idx="24">
                  <c:v>1</c:v>
                </c:pt>
                <c:pt idx="25">
                  <c:v>1</c:v>
                </c:pt>
                <c:pt idx="26">
                  <c:v>4</c:v>
                </c:pt>
                <c:pt idx="27">
                  <c:v>2</c:v>
                </c:pt>
              </c:numCache>
            </c:numRef>
          </c:val>
          <c:extLst>
            <c:ext xmlns:c16="http://schemas.microsoft.com/office/drawing/2014/chart" uri="{C3380CC4-5D6E-409C-BE32-E72D297353CC}">
              <c16:uniqueId val="{00000000-498F-4E31-AB71-63BEB8DFFAAC}"/>
            </c:ext>
          </c:extLst>
        </c:ser>
        <c:dLbls>
          <c:dLblPos val="outEnd"/>
          <c:showLegendKey val="0"/>
          <c:showVal val="1"/>
          <c:showCatName val="0"/>
          <c:showSerName val="0"/>
          <c:showPercent val="0"/>
          <c:showBubbleSize val="0"/>
        </c:dLbls>
        <c:gapWidth val="326"/>
        <c:overlap val="-58"/>
        <c:axId val="9151391"/>
        <c:axId val="9155231"/>
      </c:barChart>
      <c:catAx>
        <c:axId val="915139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accent2">
                    <a:lumMod val="75000"/>
                  </a:schemeClr>
                </a:solidFill>
                <a:latin typeface="+mn-lt"/>
                <a:ea typeface="+mn-ea"/>
                <a:cs typeface="+mn-cs"/>
              </a:defRPr>
            </a:pPr>
            <a:endParaRPr lang="en-US"/>
          </a:p>
        </c:txPr>
        <c:crossAx val="9155231"/>
        <c:crosses val="autoZero"/>
        <c:auto val="1"/>
        <c:lblAlgn val="ctr"/>
        <c:lblOffset val="100"/>
        <c:noMultiLvlLbl val="0"/>
      </c:catAx>
      <c:valAx>
        <c:axId val="9155231"/>
        <c:scaling>
          <c:orientation val="minMax"/>
        </c:scaling>
        <c:delete val="1"/>
        <c:axPos val="b"/>
        <c:numFmt formatCode="General" sourceLinked="1"/>
        <c:majorTickMark val="none"/>
        <c:minorTickMark val="none"/>
        <c:tickLblPos val="nextTo"/>
        <c:crossAx val="91513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 Report!PivotTable9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Vs Avg Per in both 2019 &amp; 2020</a:t>
            </a:r>
            <a:endParaRPr lang="en-US"/>
          </a:p>
        </c:rich>
      </c:tx>
      <c:layout>
        <c:manualLayout>
          <c:xMode val="edge"/>
          <c:yMode val="edge"/>
          <c:x val="4.3087961056604486E-2"/>
          <c:y val="0.753252177951252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3.7948396425200578E-2"/>
          <c:y val="2.7731090602058452E-2"/>
          <c:w val="0.83299032034456166"/>
          <c:h val="0.86368878562021434"/>
        </c:manualLayout>
      </c:layout>
      <c:lineChart>
        <c:grouping val="standard"/>
        <c:varyColors val="0"/>
        <c:ser>
          <c:idx val="0"/>
          <c:order val="0"/>
          <c:tx>
            <c:strRef>
              <c:f>'Pivot Table Report'!$B$27</c:f>
              <c:strCache>
                <c:ptCount val="1"/>
                <c:pt idx="0">
                  <c:v>Average of PER 2019</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Report'!$A$28:$A$41</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'Pivot Table Report'!$B$28:$B$41</c:f>
              <c:numCache>
                <c:formatCode>0%</c:formatCode>
                <c:ptCount val="13"/>
                <c:pt idx="0">
                  <c:v>0.80444444444444452</c:v>
                </c:pt>
                <c:pt idx="1">
                  <c:v>0.82400000000000007</c:v>
                </c:pt>
                <c:pt idx="2">
                  <c:v>0.81</c:v>
                </c:pt>
                <c:pt idx="3">
                  <c:v>0.84500000000000008</c:v>
                </c:pt>
                <c:pt idx="4">
                  <c:v>0.82</c:v>
                </c:pt>
                <c:pt idx="5">
                  <c:v>0.83499999999999996</c:v>
                </c:pt>
                <c:pt idx="6">
                  <c:v>0.8</c:v>
                </c:pt>
                <c:pt idx="7">
                  <c:v>0.86</c:v>
                </c:pt>
                <c:pt idx="8">
                  <c:v>0.83249999999999991</c:v>
                </c:pt>
                <c:pt idx="9">
                  <c:v>0.80500000000000005</c:v>
                </c:pt>
                <c:pt idx="10">
                  <c:v>0.89</c:v>
                </c:pt>
                <c:pt idx="11">
                  <c:v>0.81916666666666671</c:v>
                </c:pt>
                <c:pt idx="12">
                  <c:v>0.78800000000000003</c:v>
                </c:pt>
              </c:numCache>
            </c:numRef>
          </c:val>
          <c:smooth val="0"/>
          <c:extLst>
            <c:ext xmlns:c16="http://schemas.microsoft.com/office/drawing/2014/chart" uri="{C3380CC4-5D6E-409C-BE32-E72D297353CC}">
              <c16:uniqueId val="{00000000-EE48-4A85-8A7C-DB5727534474}"/>
            </c:ext>
          </c:extLst>
        </c:ser>
        <c:ser>
          <c:idx val="1"/>
          <c:order val="1"/>
          <c:tx>
            <c:strRef>
              <c:f>'Pivot Table Report'!$C$27</c:f>
              <c:strCache>
                <c:ptCount val="1"/>
                <c:pt idx="0">
                  <c:v>Average of PER 2020</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Report'!$A$28:$A$41</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'Pivot Table Report'!$C$28:$C$41</c:f>
              <c:numCache>
                <c:formatCode>0%</c:formatCode>
                <c:ptCount val="13"/>
                <c:pt idx="0">
                  <c:v>0.75222222222222213</c:v>
                </c:pt>
                <c:pt idx="1">
                  <c:v>0.65600000000000003</c:v>
                </c:pt>
                <c:pt idx="2">
                  <c:v>0.66</c:v>
                </c:pt>
                <c:pt idx="3">
                  <c:v>0.7416666666666667</c:v>
                </c:pt>
                <c:pt idx="4">
                  <c:v>0.86</c:v>
                </c:pt>
                <c:pt idx="5">
                  <c:v>0.59</c:v>
                </c:pt>
                <c:pt idx="6">
                  <c:v>0.9</c:v>
                </c:pt>
                <c:pt idx="7">
                  <c:v>0.87</c:v>
                </c:pt>
                <c:pt idx="8">
                  <c:v>0.73249999999999993</c:v>
                </c:pt>
                <c:pt idx="9">
                  <c:v>0.67999999999999994</c:v>
                </c:pt>
                <c:pt idx="10">
                  <c:v>0.52</c:v>
                </c:pt>
                <c:pt idx="11">
                  <c:v>0.70027777777777789</c:v>
                </c:pt>
                <c:pt idx="12">
                  <c:v>0.7659999999999999</c:v>
                </c:pt>
              </c:numCache>
            </c:numRef>
          </c:val>
          <c:smooth val="0"/>
          <c:extLst>
            <c:ext xmlns:c16="http://schemas.microsoft.com/office/drawing/2014/chart" uri="{C3380CC4-5D6E-409C-BE32-E72D297353CC}">
              <c16:uniqueId val="{00000001-EE48-4A85-8A7C-DB5727534474}"/>
            </c:ext>
          </c:extLst>
        </c:ser>
        <c:dLbls>
          <c:dLblPos val="t"/>
          <c:showLegendKey val="0"/>
          <c:showVal val="1"/>
          <c:showCatName val="0"/>
          <c:showSerName val="0"/>
          <c:showPercent val="0"/>
          <c:showBubbleSize val="0"/>
        </c:dLbls>
        <c:smooth val="0"/>
        <c:axId val="1762616400"/>
        <c:axId val="1762616880"/>
      </c:lineChart>
      <c:catAx>
        <c:axId val="176261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616880"/>
        <c:crosses val="autoZero"/>
        <c:auto val="1"/>
        <c:lblAlgn val="ctr"/>
        <c:lblOffset val="100"/>
        <c:noMultiLvlLbl val="0"/>
      </c:catAx>
      <c:valAx>
        <c:axId val="1762616880"/>
        <c:scaling>
          <c:orientation val="minMax"/>
        </c:scaling>
        <c:delete val="1"/>
        <c:axPos val="l"/>
        <c:numFmt formatCode="0%" sourceLinked="1"/>
        <c:majorTickMark val="none"/>
        <c:minorTickMark val="none"/>
        <c:tickLblPos val="nextTo"/>
        <c:crossAx val="176261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hyperlink" Target="#'Pivot Table Report'!A1"/><Relationship Id="rId18" Type="http://schemas.openxmlformats.org/officeDocument/2006/relationships/image" Target="../media/image7.svg"/><Relationship Id="rId3" Type="http://schemas.openxmlformats.org/officeDocument/2006/relationships/image" Target="../media/image3.svg"/><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All Dept'!A1"/><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image" Target="../media/image5.svg"/><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111000</xdr:colOff>
      <xdr:row>1</xdr:row>
      <xdr:rowOff>114825</xdr:rowOff>
    </xdr:from>
    <xdr:to>
      <xdr:col>3</xdr:col>
      <xdr:colOff>575820</xdr:colOff>
      <xdr:row>3</xdr:row>
      <xdr:rowOff>207579</xdr:rowOff>
    </xdr:to>
    <xdr:pic>
      <xdr:nvPicPr>
        <xdr:cNvPr id="5" name="Picture 4">
          <a:extLst>
            <a:ext uri="{FF2B5EF4-FFF2-40B4-BE49-F238E27FC236}">
              <a16:creationId xmlns:a16="http://schemas.microsoft.com/office/drawing/2014/main" id="{5EC3FE73-CEFA-1EEA-45AA-BC160BA6B955}"/>
            </a:ext>
          </a:extLst>
        </xdr:cNvPr>
        <xdr:cNvPicPr>
          <a:picLocks noChangeAspect="1"/>
        </xdr:cNvPicPr>
      </xdr:nvPicPr>
      <xdr:blipFill>
        <a:blip xmlns:r="http://schemas.openxmlformats.org/officeDocument/2006/relationships" r:embed="rId1"/>
        <a:stretch>
          <a:fillRect/>
        </a:stretch>
      </xdr:blipFill>
      <xdr:spPr>
        <a:xfrm>
          <a:off x="1924034" y="298756"/>
          <a:ext cx="464820" cy="460616"/>
        </a:xfrm>
        <a:prstGeom prst="rect">
          <a:avLst/>
        </a:prstGeom>
      </xdr:spPr>
    </xdr:pic>
    <xdr:clientData/>
  </xdr:twoCellAnchor>
  <xdr:twoCellAnchor editAs="oneCell">
    <xdr:from>
      <xdr:col>19</xdr:col>
      <xdr:colOff>499889</xdr:colOff>
      <xdr:row>0</xdr:row>
      <xdr:rowOff>174769</xdr:rowOff>
    </xdr:from>
    <xdr:to>
      <xdr:col>20</xdr:col>
      <xdr:colOff>440623</xdr:colOff>
      <xdr:row>3</xdr:row>
      <xdr:rowOff>179309</xdr:rowOff>
    </xdr:to>
    <xdr:pic>
      <xdr:nvPicPr>
        <xdr:cNvPr id="3" name="Graphic 2" descr="Document with solid fill">
          <a:extLst>
            <a:ext uri="{FF2B5EF4-FFF2-40B4-BE49-F238E27FC236}">
              <a16:creationId xmlns:a16="http://schemas.microsoft.com/office/drawing/2014/main" id="{5A7BDC7F-4B8E-A5A3-1681-0A19B97D4B7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84052" y="174769"/>
          <a:ext cx="547224" cy="564377"/>
        </a:xfrm>
        <a:prstGeom prst="rect">
          <a:avLst/>
        </a:prstGeom>
      </xdr:spPr>
    </xdr:pic>
    <xdr:clientData/>
  </xdr:twoCellAnchor>
  <xdr:twoCellAnchor>
    <xdr:from>
      <xdr:col>16</xdr:col>
      <xdr:colOff>172944</xdr:colOff>
      <xdr:row>27</xdr:row>
      <xdr:rowOff>179392</xdr:rowOff>
    </xdr:from>
    <xdr:to>
      <xdr:col>23</xdr:col>
      <xdr:colOff>120391</xdr:colOff>
      <xdr:row>41</xdr:row>
      <xdr:rowOff>64972</xdr:rowOff>
    </xdr:to>
    <xdr:graphicFrame macro="">
      <xdr:nvGraphicFramePr>
        <xdr:cNvPr id="4" name="Site VS No. of Emp">
          <a:extLst>
            <a:ext uri="{FF2B5EF4-FFF2-40B4-BE49-F238E27FC236}">
              <a16:creationId xmlns:a16="http://schemas.microsoft.com/office/drawing/2014/main" id="{C667F76D-3395-45CA-A8AC-AB66A5923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110837</xdr:colOff>
      <xdr:row>31</xdr:row>
      <xdr:rowOff>258</xdr:rowOff>
    </xdr:from>
    <xdr:to>
      <xdr:col>16</xdr:col>
      <xdr:colOff>64973</xdr:colOff>
      <xdr:row>47</xdr:row>
      <xdr:rowOff>42590</xdr:rowOff>
    </xdr:to>
    <xdr:graphicFrame macro="">
      <xdr:nvGraphicFramePr>
        <xdr:cNvPr id="6" name="Min, Max, and Avg">
          <a:extLst>
            <a:ext uri="{FF2B5EF4-FFF2-40B4-BE49-F238E27FC236}">
              <a16:creationId xmlns:a16="http://schemas.microsoft.com/office/drawing/2014/main" id="{6D7EFDB2-1BCD-4853-A48F-D75543448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212358</xdr:colOff>
      <xdr:row>15</xdr:row>
      <xdr:rowOff>2201</xdr:rowOff>
    </xdr:from>
    <xdr:to>
      <xdr:col>40</xdr:col>
      <xdr:colOff>10033</xdr:colOff>
      <xdr:row>41</xdr:row>
      <xdr:rowOff>78110</xdr:rowOff>
    </xdr:to>
    <xdr:graphicFrame macro="">
      <xdr:nvGraphicFramePr>
        <xdr:cNvPr id="8" name="T Salary VS Job">
          <a:extLst>
            <a:ext uri="{FF2B5EF4-FFF2-40B4-BE49-F238E27FC236}">
              <a16:creationId xmlns:a16="http://schemas.microsoft.com/office/drawing/2014/main" id="{C6D58BF8-EBAC-4DE1-B450-839126F89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138546</xdr:colOff>
      <xdr:row>14</xdr:row>
      <xdr:rowOff>151684</xdr:rowOff>
    </xdr:from>
    <xdr:to>
      <xdr:col>16</xdr:col>
      <xdr:colOff>65690</xdr:colOff>
      <xdr:row>30</xdr:row>
      <xdr:rowOff>113661</xdr:rowOff>
    </xdr:to>
    <xdr:graphicFrame macro="">
      <xdr:nvGraphicFramePr>
        <xdr:cNvPr id="10" name="Avg per and Change">
          <a:extLst>
            <a:ext uri="{FF2B5EF4-FFF2-40B4-BE49-F238E27FC236}">
              <a16:creationId xmlns:a16="http://schemas.microsoft.com/office/drawing/2014/main" id="{8E40C429-6F21-4C6F-BAB9-53E934F04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144517</xdr:colOff>
      <xdr:row>41</xdr:row>
      <xdr:rowOff>131389</xdr:rowOff>
    </xdr:from>
    <xdr:to>
      <xdr:col>25</xdr:col>
      <xdr:colOff>223345</xdr:colOff>
      <xdr:row>60</xdr:row>
      <xdr:rowOff>14122</xdr:rowOff>
    </xdr:to>
    <xdr:graphicFrame macro="">
      <xdr:nvGraphicFramePr>
        <xdr:cNvPr id="11" name="Avg years Exp and Age Emp">
          <a:extLst>
            <a:ext uri="{FF2B5EF4-FFF2-40B4-BE49-F238E27FC236}">
              <a16:creationId xmlns:a16="http://schemas.microsoft.com/office/drawing/2014/main" id="{AEBF6E57-E5A3-464D-8EC5-0D64F06B0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145234</xdr:colOff>
      <xdr:row>14</xdr:row>
      <xdr:rowOff>152400</xdr:rowOff>
    </xdr:from>
    <xdr:to>
      <xdr:col>23</xdr:col>
      <xdr:colOff>105819</xdr:colOff>
      <xdr:row>27</xdr:row>
      <xdr:rowOff>143083</xdr:rowOff>
    </xdr:to>
    <xdr:graphicFrame macro="">
      <xdr:nvGraphicFramePr>
        <xdr:cNvPr id="7" name="T Salary">
          <a:extLst>
            <a:ext uri="{FF2B5EF4-FFF2-40B4-BE49-F238E27FC236}">
              <a16:creationId xmlns:a16="http://schemas.microsoft.com/office/drawing/2014/main" id="{8F8E5309-F18B-4FA7-8B39-254AD1424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138545</xdr:colOff>
      <xdr:row>47</xdr:row>
      <xdr:rowOff>98778</xdr:rowOff>
    </xdr:from>
    <xdr:to>
      <xdr:col>16</xdr:col>
      <xdr:colOff>92681</xdr:colOff>
      <xdr:row>60</xdr:row>
      <xdr:rowOff>14111</xdr:rowOff>
    </xdr:to>
    <xdr:graphicFrame macro="">
      <xdr:nvGraphicFramePr>
        <xdr:cNvPr id="9" name="Level Vs No. Emp">
          <a:extLst>
            <a:ext uri="{FF2B5EF4-FFF2-40B4-BE49-F238E27FC236}">
              <a16:creationId xmlns:a16="http://schemas.microsoft.com/office/drawing/2014/main" id="{4A24E678-4A91-446A-8EA9-9F6FC6F10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471054</xdr:colOff>
      <xdr:row>0</xdr:row>
      <xdr:rowOff>26275</xdr:rowOff>
    </xdr:from>
    <xdr:to>
      <xdr:col>39</xdr:col>
      <xdr:colOff>564930</xdr:colOff>
      <xdr:row>4</xdr:row>
      <xdr:rowOff>197068</xdr:rowOff>
    </xdr:to>
    <mc:AlternateContent xmlns:mc="http://schemas.openxmlformats.org/markup-compatibility/2006" xmlns:a14="http://schemas.microsoft.com/office/drawing/2010/main">
      <mc:Choice Requires="a14">
        <xdr:graphicFrame macro="">
          <xdr:nvGraphicFramePr>
            <xdr:cNvPr id="13" name="Dept">
              <a:extLst>
                <a:ext uri="{FF2B5EF4-FFF2-40B4-BE49-F238E27FC236}">
                  <a16:creationId xmlns:a16="http://schemas.microsoft.com/office/drawing/2014/main" id="{C77564D8-7792-48CF-AA78-83AC684ADE25}"/>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11708577" y="26275"/>
              <a:ext cx="10783292" cy="963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302171</xdr:colOff>
      <xdr:row>41</xdr:row>
      <xdr:rowOff>138544</xdr:rowOff>
    </xdr:from>
    <xdr:to>
      <xdr:col>39</xdr:col>
      <xdr:colOff>591207</xdr:colOff>
      <xdr:row>77</xdr:row>
      <xdr:rowOff>131378</xdr:rowOff>
    </xdr:to>
    <xdr:graphicFrame macro="">
      <xdr:nvGraphicFramePr>
        <xdr:cNvPr id="2" name="Chart 1">
          <a:extLst>
            <a:ext uri="{FF2B5EF4-FFF2-40B4-BE49-F238E27FC236}">
              <a16:creationId xmlns:a16="http://schemas.microsoft.com/office/drawing/2014/main" id="{F44CF42C-DDE4-4472-BB84-177A916F3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110836</xdr:colOff>
      <xdr:row>60</xdr:row>
      <xdr:rowOff>41563</xdr:rowOff>
    </xdr:from>
    <xdr:to>
      <xdr:col>25</xdr:col>
      <xdr:colOff>239887</xdr:colOff>
      <xdr:row>77</xdr:row>
      <xdr:rowOff>126999</xdr:rowOff>
    </xdr:to>
    <xdr:graphicFrame macro="">
      <xdr:nvGraphicFramePr>
        <xdr:cNvPr id="12" name="Chart 11">
          <a:extLst>
            <a:ext uri="{FF2B5EF4-FFF2-40B4-BE49-F238E27FC236}">
              <a16:creationId xmlns:a16="http://schemas.microsoft.com/office/drawing/2014/main" id="{B2C563C2-17FE-421A-B6F4-4634D57CB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26</xdr:col>
      <xdr:colOff>249382</xdr:colOff>
      <xdr:row>0</xdr:row>
      <xdr:rowOff>13855</xdr:rowOff>
    </xdr:from>
    <xdr:to>
      <xdr:col>31</xdr:col>
      <xdr:colOff>249382</xdr:colOff>
      <xdr:row>4</xdr:row>
      <xdr:rowOff>180109</xdr:rowOff>
    </xdr:to>
    <mc:AlternateContent xmlns:mc="http://schemas.openxmlformats.org/markup-compatibility/2006">
      <mc:Choice xmlns:a14="http://schemas.microsoft.com/office/drawing/2010/main" Requires="a14">
        <xdr:graphicFrame macro="">
          <xdr:nvGraphicFramePr>
            <xdr:cNvPr id="14" name="الموقع">
              <a:extLst>
                <a:ext uri="{FF2B5EF4-FFF2-40B4-BE49-F238E27FC236}">
                  <a16:creationId xmlns:a16="http://schemas.microsoft.com/office/drawing/2014/main" id="{06EBA632-16F3-47FC-B221-96D7E15EB0F0}"/>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dr:sp macro="" textlink="">
          <xdr:nvSpPr>
            <xdr:cNvPr id="0" name=""/>
            <xdr:cNvSpPr>
              <a:spLocks noTextEdit="1"/>
            </xdr:cNvSpPr>
          </xdr:nvSpPr>
          <xdr:spPr>
            <a:xfrm>
              <a:off x="16464742" y="13855"/>
              <a:ext cx="3048000" cy="943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290944</xdr:colOff>
      <xdr:row>8</xdr:row>
      <xdr:rowOff>55418</xdr:rowOff>
    </xdr:from>
    <xdr:to>
      <xdr:col>6</xdr:col>
      <xdr:colOff>387926</xdr:colOff>
      <xdr:row>20</xdr:row>
      <xdr:rowOff>110836</xdr:rowOff>
    </xdr:to>
    <xdr:pic>
      <xdr:nvPicPr>
        <xdr:cNvPr id="16" name="Graphic 15" descr="Document with solid fill">
          <a:hlinkClick xmlns:r="http://schemas.openxmlformats.org/officeDocument/2006/relationships" r:id="rId13"/>
          <a:extLst>
            <a:ext uri="{FF2B5EF4-FFF2-40B4-BE49-F238E27FC236}">
              <a16:creationId xmlns:a16="http://schemas.microsoft.com/office/drawing/2014/main" id="{3122DB59-CD03-9CC1-4B52-157AA9CC109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9744" y="1579418"/>
          <a:ext cx="2216727" cy="2216727"/>
        </a:xfrm>
        <a:prstGeom prst="rect">
          <a:avLst/>
        </a:prstGeom>
      </xdr:spPr>
    </xdr:pic>
    <xdr:clientData/>
  </xdr:twoCellAnchor>
  <xdr:twoCellAnchor editAs="oneCell">
    <xdr:from>
      <xdr:col>3</xdr:col>
      <xdr:colOff>166254</xdr:colOff>
      <xdr:row>49</xdr:row>
      <xdr:rowOff>124688</xdr:rowOff>
    </xdr:from>
    <xdr:to>
      <xdr:col>6</xdr:col>
      <xdr:colOff>387928</xdr:colOff>
      <xdr:row>62</xdr:row>
      <xdr:rowOff>124689</xdr:rowOff>
    </xdr:to>
    <xdr:pic>
      <xdr:nvPicPr>
        <xdr:cNvPr id="18" name="Graphic 17" descr="Table outline">
          <a:hlinkClick xmlns:r="http://schemas.openxmlformats.org/officeDocument/2006/relationships" r:id="rId16"/>
          <a:extLst>
            <a:ext uri="{FF2B5EF4-FFF2-40B4-BE49-F238E27FC236}">
              <a16:creationId xmlns:a16="http://schemas.microsoft.com/office/drawing/2014/main" id="{DAE5A3E3-DB0F-7A37-F36D-343EFFBB7F8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95054" y="9033161"/>
          <a:ext cx="2341419" cy="23414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refreshedDate="45823.229873842596" createdVersion="8" refreshedVersion="8" minRefreshableVersion="3" recordCount="100" xr:uid="{129C9138-411B-49C2-8D0D-948584150D90}">
  <cacheSource type="worksheet">
    <worksheetSource name="All_Dept"/>
  </cacheSource>
  <cacheFields count="16">
    <cacheField name="المسلسل" numFmtId="0">
      <sharedItems containsSemiMixedTypes="0" containsString="0" containsNumber="1" containsInteger="1" minValue="1" maxValue="94"/>
    </cacheField>
    <cacheField name="الرقم الوظيفي" numFmtId="1">
      <sharedItems containsSemiMixedTypes="0" containsString="0" containsNumber="1" containsInteger="1" minValue="25905" maxValue="31457"/>
    </cacheField>
    <cacheField name="اسم الموظف" numFmtId="0">
      <sharedItems count="38">
        <s v="أحمد سمير"/>
        <s v="هدي محمد"/>
        <s v="أشرف أحمد"/>
        <s v="تامر خالد"/>
        <s v="حازم أحمد"/>
        <s v="يوسف أحمد"/>
        <s v="أحمد فريد"/>
        <s v="نورهان أحمد"/>
        <s v="منه محمود"/>
        <s v="منه أحمد"/>
        <s v="هند بهاء"/>
        <s v="مارك يوسف"/>
        <s v="يحيي هادي"/>
        <s v="نغم محمد"/>
        <s v="محمد أحمد"/>
        <s v="أحمد حسن"/>
        <s v="محمد علاء"/>
        <s v="علي محمد"/>
        <s v="مهاب أسامة"/>
        <s v="عبد الرحمن محمد"/>
        <s v="محمد راضي"/>
        <s v="الاء أحمد"/>
        <s v="كامل عصام"/>
        <s v="خالد محمد"/>
        <s v="سارة احمد محمد"/>
        <s v="ندي إبراهيم"/>
        <s v="مي محمد ابراهيم"/>
        <s v="مروة محمد عبدالله"/>
        <s v="هالة عبد العال"/>
        <s v="فادي نور"/>
        <s v="نور يحيي"/>
        <s v="اسراء عصام"/>
        <s v="ايمان علي سلامة"/>
        <s v="مؤمن محمد"/>
        <s v="حسين ياسر"/>
        <s v="نسمة كامل"/>
        <s v="تغريد يحيي"/>
        <s v="حسن أحمد"/>
      </sharedItems>
    </cacheField>
    <cacheField name="الوظيفة" numFmtId="0">
      <sharedItems count="13">
        <s v="Sales Manager"/>
        <s v="Sales rep."/>
        <s v="Marketing Manager"/>
        <s v="Digital marketing specialist"/>
        <s v="Products Marketing Coordinator"/>
        <s v="IT Manager"/>
        <s v="Software developer"/>
        <s v="HR Manager"/>
        <s v="HR Specialist"/>
        <s v="Recruitment Specialsit"/>
        <s v="HR Coordinator"/>
        <s v="Financial Manager"/>
        <s v="Accountant"/>
      </sharedItems>
    </cacheField>
    <cacheField name="الموقع" numFmtId="0">
      <sharedItems count="6">
        <s v="القاهرة"/>
        <s v="الإسكندرية"/>
        <s v="طنطا"/>
        <s v="القاهره" u="1"/>
        <s v="الاسكندريه" u="1"/>
        <s v="الاسكندرية" u="1"/>
      </sharedItems>
    </cacheField>
    <cacheField name="تاريخ التعيين" numFmtId="14">
      <sharedItems containsSemiMixedTypes="0" containsNonDate="0" containsDate="1" containsString="0" minDate="1995-11-26T00:00:00" maxDate="2018-12-30T00:00:00"/>
    </cacheField>
    <cacheField name="تاريخ الميلاد" numFmtId="14">
      <sharedItems containsSemiMixedTypes="0" containsNonDate="0" containsDate="1" containsString="0" minDate="1959-05-25T00:00:00" maxDate="1989-08-24T00:00:00"/>
    </cacheField>
    <cacheField name="المؤهل الدراسي" numFmtId="0">
      <sharedItems count="3">
        <s v="بكالوريوس"/>
        <s v="دبلوم"/>
        <s v="ماجستير"/>
      </sharedItems>
    </cacheField>
    <cacheField name="الراتب" numFmtId="0">
      <sharedItems containsSemiMixedTypes="0" containsString="0" containsNumber="1" containsInteger="1" minValue="1428" maxValue="35000"/>
    </cacheField>
    <cacheField name="PER 2019" numFmtId="9">
      <sharedItems containsSemiMixedTypes="0" containsString="0" containsNumber="1" minValue="0.75" maxValue="0.89"/>
    </cacheField>
    <cacheField name="PER 2020" numFmtId="9">
      <sharedItems containsSemiMixedTypes="0" containsString="0" containsNumber="1" minValue="0.4" maxValue="0.97"/>
    </cacheField>
    <cacheField name="Dept" numFmtId="0">
      <sharedItems count="5">
        <s v="Sales"/>
        <s v="Marketing"/>
        <s v="IT"/>
        <s v="HR"/>
        <s v="Finance"/>
      </sharedItems>
    </cacheField>
    <cacheField name="Years of Experience " numFmtId="0">
      <sharedItems containsSemiMixedTypes="0" containsString="0" containsNumber="1" containsInteger="1" minValue="6" maxValue="29"/>
    </cacheField>
    <cacheField name="Age" numFmtId="0">
      <sharedItems containsSemiMixedTypes="0" containsString="0" containsNumber="1" containsInteger="1" minValue="35" maxValue="66"/>
    </cacheField>
    <cacheField name="total Avg Performance" numFmtId="164">
      <sharedItems containsSemiMixedTypes="0" containsString="0" containsNumber="1" minValue="0.59" maxValue="0.91999999999999993"/>
    </cacheField>
    <cacheField name="Delta" numFmtId="165">
      <sharedItems containsSemiMixedTypes="0" containsString="0" containsNumber="1" minValue="-0.48000000000000004" maxValue="0.20999999999999996"/>
    </cacheField>
  </cacheFields>
  <extLst>
    <ext xmlns:x14="http://schemas.microsoft.com/office/spreadsheetml/2009/9/main" uri="{725AE2AE-9491-48be-B2B4-4EB974FC3084}">
      <x14:pivotCacheDefinition pivotCacheId="1584399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5"/>
    <n v="27375"/>
    <x v="0"/>
    <x v="0"/>
    <x v="0"/>
    <d v="2000-08-03T00:00:00"/>
    <d v="1980-03-01T00:00:00"/>
    <x v="0"/>
    <n v="35000"/>
    <n v="0.89"/>
    <n v="0.52"/>
    <x v="0"/>
    <n v="24"/>
    <n v="45"/>
    <n v="0.70500000000000007"/>
    <n v="-0.37"/>
  </r>
  <r>
    <n v="10"/>
    <n v="30377"/>
    <x v="1"/>
    <x v="1"/>
    <x v="1"/>
    <d v="2010-07-03T00:00:00"/>
    <d v="1969-12-13T00:00:00"/>
    <x v="1"/>
    <n v="17456"/>
    <n v="0.87"/>
    <n v="0.97"/>
    <x v="0"/>
    <n v="14"/>
    <n v="55"/>
    <n v="0.91999999999999993"/>
    <n v="9.9999999999999978E-2"/>
  </r>
  <r>
    <n v="11"/>
    <n v="29369"/>
    <x v="2"/>
    <x v="1"/>
    <x v="1"/>
    <d v="2015-11-18T00:00:00"/>
    <d v="1978-11-13T00:00:00"/>
    <x v="1"/>
    <n v="7943"/>
    <n v="0.75"/>
    <n v="0.7"/>
    <x v="0"/>
    <n v="9"/>
    <n v="46"/>
    <n v="0.72499999999999998"/>
    <n v="-5.0000000000000044E-2"/>
  </r>
  <r>
    <n v="16"/>
    <n v="27142"/>
    <x v="3"/>
    <x v="1"/>
    <x v="1"/>
    <d v="2011-05-25T00:00:00"/>
    <d v="1971-06-18T00:00:00"/>
    <x v="1"/>
    <n v="16613"/>
    <n v="0.84"/>
    <n v="0.42"/>
    <x v="0"/>
    <n v="14"/>
    <n v="53"/>
    <n v="0.63"/>
    <n v="-0.42"/>
  </r>
  <r>
    <n v="17"/>
    <n v="27650"/>
    <x v="4"/>
    <x v="1"/>
    <x v="1"/>
    <d v="2011-07-02T00:00:00"/>
    <d v="1979-12-05T00:00:00"/>
    <x v="1"/>
    <n v="6329"/>
    <n v="0.81"/>
    <n v="0.71"/>
    <x v="0"/>
    <n v="13"/>
    <n v="45"/>
    <n v="0.76"/>
    <n v="-0.10000000000000009"/>
  </r>
  <r>
    <n v="18"/>
    <n v="25906"/>
    <x v="5"/>
    <x v="1"/>
    <x v="0"/>
    <d v="2013-08-12T00:00:00"/>
    <d v="1981-03-19T00:00:00"/>
    <x v="1"/>
    <n v="17215"/>
    <n v="0.8"/>
    <n v="0.87"/>
    <x v="0"/>
    <n v="11"/>
    <n v="44"/>
    <n v="0.83499999999999996"/>
    <n v="6.9999999999999951E-2"/>
  </r>
  <r>
    <n v="19"/>
    <n v="26439"/>
    <x v="6"/>
    <x v="1"/>
    <x v="2"/>
    <d v="2014-09-23T00:00:00"/>
    <d v="1969-01-10T00:00:00"/>
    <x v="1"/>
    <n v="4799"/>
    <n v="0.86"/>
    <n v="0.64"/>
    <x v="0"/>
    <n v="10"/>
    <n v="56"/>
    <n v="0.75"/>
    <n v="-0.21999999999999997"/>
  </r>
  <r>
    <n v="20"/>
    <n v="26438"/>
    <x v="7"/>
    <x v="1"/>
    <x v="2"/>
    <d v="2014-10-11T00:00:00"/>
    <d v="1969-01-07T00:00:00"/>
    <x v="1"/>
    <n v="18547"/>
    <n v="0.82"/>
    <n v="0.65"/>
    <x v="0"/>
    <n v="10"/>
    <n v="56"/>
    <n v="0.73499999999999999"/>
    <n v="-0.16999999999999993"/>
  </r>
  <r>
    <n v="21"/>
    <n v="31456"/>
    <x v="8"/>
    <x v="1"/>
    <x v="1"/>
    <d v="2015-04-11T00:00:00"/>
    <d v="1963-10-28T00:00:00"/>
    <x v="1"/>
    <n v="4649"/>
    <n v="0.75"/>
    <n v="0.78"/>
    <x v="0"/>
    <n v="10"/>
    <n v="61"/>
    <n v="0.76500000000000001"/>
    <n v="3.0000000000000027E-2"/>
  </r>
  <r>
    <n v="22"/>
    <n v="27141"/>
    <x v="9"/>
    <x v="1"/>
    <x v="0"/>
    <d v="2015-04-11T00:00:00"/>
    <d v="1984-05-06T00:00:00"/>
    <x v="1"/>
    <n v="15173"/>
    <n v="0.85"/>
    <n v="0.96"/>
    <x v="0"/>
    <n v="10"/>
    <n v="41"/>
    <n v="0.90500000000000003"/>
    <n v="0.10999999999999999"/>
  </r>
  <r>
    <n v="23"/>
    <n v="26448"/>
    <x v="10"/>
    <x v="1"/>
    <x v="0"/>
    <d v="2016-04-09T00:00:00"/>
    <d v="1983-06-20T00:00:00"/>
    <x v="1"/>
    <n v="18240"/>
    <n v="0.89"/>
    <n v="0.61"/>
    <x v="0"/>
    <n v="9"/>
    <n v="41"/>
    <n v="0.75"/>
    <n v="-0.28000000000000003"/>
  </r>
  <r>
    <n v="31"/>
    <n v="26437"/>
    <x v="11"/>
    <x v="1"/>
    <x v="0"/>
    <d v="2014-10-11T00:00:00"/>
    <d v="1976-08-16T00:00:00"/>
    <x v="1"/>
    <n v="3445"/>
    <n v="0.78"/>
    <n v="0.65"/>
    <x v="0"/>
    <n v="10"/>
    <n v="48"/>
    <n v="0.71500000000000008"/>
    <n v="-0.13"/>
  </r>
  <r>
    <n v="32"/>
    <n v="27960"/>
    <x v="12"/>
    <x v="1"/>
    <x v="1"/>
    <d v="2016-02-17T00:00:00"/>
    <d v="1964-09-21T00:00:00"/>
    <x v="1"/>
    <n v="13889"/>
    <n v="0.85"/>
    <n v="0.61"/>
    <x v="0"/>
    <n v="9"/>
    <n v="60"/>
    <n v="0.73"/>
    <n v="-0.24"/>
  </r>
  <r>
    <n v="37"/>
    <n v="27003"/>
    <x v="13"/>
    <x v="1"/>
    <x v="0"/>
    <d v="2018-01-21T00:00:00"/>
    <d v="1980-02-05T00:00:00"/>
    <x v="1"/>
    <n v="23467"/>
    <n v="0.79"/>
    <n v="0.95"/>
    <x v="0"/>
    <n v="7"/>
    <n v="45"/>
    <n v="0.87"/>
    <n v="0.15999999999999992"/>
  </r>
  <r>
    <n v="38"/>
    <n v="26440"/>
    <x v="14"/>
    <x v="1"/>
    <x v="1"/>
    <d v="2018-01-21T00:00:00"/>
    <d v="1977-08-27T00:00:00"/>
    <x v="1"/>
    <n v="2486"/>
    <n v="0.83"/>
    <n v="0.67"/>
    <x v="0"/>
    <n v="7"/>
    <n v="47"/>
    <n v="0.75"/>
    <n v="-0.15999999999999992"/>
  </r>
  <r>
    <n v="39"/>
    <n v="26433"/>
    <x v="15"/>
    <x v="1"/>
    <x v="1"/>
    <d v="2018-01-21T00:00:00"/>
    <d v="1964-04-30T00:00:00"/>
    <x v="1"/>
    <n v="9365"/>
    <n v="0.84"/>
    <n v="0.4"/>
    <x v="0"/>
    <n v="7"/>
    <n v="61"/>
    <n v="0.62"/>
    <n v="-0.43999999999999995"/>
  </r>
  <r>
    <n v="40"/>
    <n v="31457"/>
    <x v="16"/>
    <x v="1"/>
    <x v="0"/>
    <d v="1999-06-01T00:00:00"/>
    <d v="1964-06-04T00:00:00"/>
    <x v="1"/>
    <n v="22438"/>
    <n v="0.82"/>
    <n v="0.56999999999999995"/>
    <x v="0"/>
    <n v="26"/>
    <n v="61"/>
    <n v="0.69499999999999995"/>
    <n v="-0.25"/>
  </r>
  <r>
    <n v="41"/>
    <n v="27648"/>
    <x v="17"/>
    <x v="1"/>
    <x v="0"/>
    <d v="2004-05-08T00:00:00"/>
    <d v="1989-08-23T00:00:00"/>
    <x v="1"/>
    <n v="20869"/>
    <n v="0.77"/>
    <n v="0.41"/>
    <x v="0"/>
    <n v="21"/>
    <n v="35"/>
    <n v="0.59"/>
    <n v="-0.36000000000000004"/>
  </r>
  <r>
    <n v="42"/>
    <n v="27858"/>
    <x v="0"/>
    <x v="1"/>
    <x v="1"/>
    <d v="2011-11-03T00:00:00"/>
    <d v="1978-05-11T00:00:00"/>
    <x v="1"/>
    <n v="1428"/>
    <n v="0.87"/>
    <n v="0.96"/>
    <x v="0"/>
    <n v="13"/>
    <n v="47"/>
    <n v="0.91500000000000004"/>
    <n v="8.9999999999999969E-2"/>
  </r>
  <r>
    <n v="43"/>
    <n v="26444"/>
    <x v="18"/>
    <x v="1"/>
    <x v="0"/>
    <d v="1998-03-14T00:00:00"/>
    <d v="1978-10-19T00:00:00"/>
    <x v="1"/>
    <n v="16767"/>
    <n v="0.84"/>
    <n v="0.69"/>
    <x v="0"/>
    <n v="27"/>
    <n v="46"/>
    <n v="0.7649999999999999"/>
    <n v="-0.15000000000000002"/>
  </r>
  <r>
    <n v="51"/>
    <n v="28126"/>
    <x v="19"/>
    <x v="1"/>
    <x v="0"/>
    <d v="2006-08-01T00:00:00"/>
    <d v="1977-02-10T00:00:00"/>
    <x v="1"/>
    <n v="12122"/>
    <n v="0.76"/>
    <n v="0.67"/>
    <x v="0"/>
    <n v="18"/>
    <n v="48"/>
    <n v="0.71500000000000008"/>
    <n v="-8.9999999999999969E-2"/>
  </r>
  <r>
    <n v="52"/>
    <n v="26413"/>
    <x v="3"/>
    <x v="1"/>
    <x v="1"/>
    <d v="2007-03-03T00:00:00"/>
    <d v="1969-06-02T00:00:00"/>
    <x v="1"/>
    <n v="24004"/>
    <n v="0.81"/>
    <n v="0.77"/>
    <x v="0"/>
    <n v="18"/>
    <n v="56"/>
    <n v="0.79"/>
    <n v="-4.0000000000000036E-2"/>
  </r>
  <r>
    <n v="59"/>
    <n v="26347"/>
    <x v="10"/>
    <x v="1"/>
    <x v="1"/>
    <d v="2016-07-25T00:00:00"/>
    <d v="1989-04-01T00:00:00"/>
    <x v="1"/>
    <n v="7329"/>
    <n v="0.86"/>
    <n v="0.61"/>
    <x v="0"/>
    <n v="8"/>
    <n v="36"/>
    <n v="0.73499999999999999"/>
    <n v="-0.25"/>
  </r>
  <r>
    <n v="60"/>
    <n v="26430"/>
    <x v="20"/>
    <x v="1"/>
    <x v="1"/>
    <d v="2014-11-08T00:00:00"/>
    <d v="1970-08-23T00:00:00"/>
    <x v="1"/>
    <n v="20603"/>
    <n v="0.88"/>
    <n v="0.76"/>
    <x v="0"/>
    <n v="10"/>
    <n v="54"/>
    <n v="0.82000000000000006"/>
    <n v="-0.12"/>
  </r>
  <r>
    <n v="72"/>
    <n v="26991"/>
    <x v="14"/>
    <x v="1"/>
    <x v="0"/>
    <d v="2012-02-13T00:00:00"/>
    <d v="1980-02-05T00:00:00"/>
    <x v="1"/>
    <n v="18091"/>
    <n v="0.84"/>
    <n v="0.91"/>
    <x v="0"/>
    <n v="13"/>
    <n v="45"/>
    <n v="0.875"/>
    <n v="7.0000000000000062E-2"/>
  </r>
  <r>
    <n v="73"/>
    <n v="27618"/>
    <x v="15"/>
    <x v="1"/>
    <x v="0"/>
    <d v="2015-02-01T00:00:00"/>
    <d v="1972-03-04T00:00:00"/>
    <x v="1"/>
    <n v="21390"/>
    <n v="0.76"/>
    <n v="0.89"/>
    <x v="0"/>
    <n v="10"/>
    <n v="53"/>
    <n v="0.82499999999999996"/>
    <n v="0.13"/>
  </r>
  <r>
    <n v="78"/>
    <n v="28166"/>
    <x v="21"/>
    <x v="1"/>
    <x v="1"/>
    <d v="2016-04-16T00:00:00"/>
    <d v="1983-08-08T00:00:00"/>
    <x v="1"/>
    <n v="13943"/>
    <n v="0.78"/>
    <n v="0.78"/>
    <x v="0"/>
    <n v="9"/>
    <n v="41"/>
    <n v="0.78"/>
    <n v="0"/>
  </r>
  <r>
    <n v="79"/>
    <n v="27004"/>
    <x v="22"/>
    <x v="1"/>
    <x v="1"/>
    <d v="1996-06-01T00:00:00"/>
    <d v="1977-02-01T00:00:00"/>
    <x v="1"/>
    <n v="9011"/>
    <n v="0.79"/>
    <n v="0.46"/>
    <x v="0"/>
    <n v="29"/>
    <n v="48"/>
    <n v="0.625"/>
    <n v="-0.33"/>
  </r>
  <r>
    <n v="80"/>
    <n v="27649"/>
    <x v="1"/>
    <x v="1"/>
    <x v="1"/>
    <d v="1996-11-20T00:00:00"/>
    <d v="1979-04-25T00:00:00"/>
    <x v="1"/>
    <n v="5390"/>
    <n v="0.81"/>
    <n v="0.4"/>
    <x v="0"/>
    <n v="28"/>
    <n v="46"/>
    <n v="0.60499999999999998"/>
    <n v="-0.41000000000000003"/>
  </r>
  <r>
    <n v="81"/>
    <n v="26998"/>
    <x v="2"/>
    <x v="1"/>
    <x v="1"/>
    <d v="1998-06-20T00:00:00"/>
    <d v="1976-01-15T00:00:00"/>
    <x v="1"/>
    <n v="19015"/>
    <n v="0.84"/>
    <n v="0.65"/>
    <x v="0"/>
    <n v="26"/>
    <n v="49"/>
    <n v="0.745"/>
    <n v="-0.18999999999999995"/>
  </r>
  <r>
    <n v="82"/>
    <n v="31455"/>
    <x v="23"/>
    <x v="1"/>
    <x v="2"/>
    <d v="2001-01-13T00:00:00"/>
    <d v="1979-09-26T00:00:00"/>
    <x v="1"/>
    <n v="8138"/>
    <n v="0.82"/>
    <n v="0.83"/>
    <x v="0"/>
    <n v="24"/>
    <n v="45"/>
    <n v="0.82499999999999996"/>
    <n v="1.0000000000000009E-2"/>
  </r>
  <r>
    <n v="89"/>
    <n v="26425"/>
    <x v="6"/>
    <x v="1"/>
    <x v="2"/>
    <d v="2012-10-09T00:00:00"/>
    <d v="1972-05-20T00:00:00"/>
    <x v="1"/>
    <n v="5061"/>
    <n v="0.75"/>
    <n v="0.67"/>
    <x v="0"/>
    <n v="12"/>
    <n v="53"/>
    <n v="0.71"/>
    <n v="-7.999999999999996E-2"/>
  </r>
  <r>
    <n v="90"/>
    <n v="26421"/>
    <x v="7"/>
    <x v="1"/>
    <x v="0"/>
    <d v="2013-04-14T00:00:00"/>
    <d v="1973-11-24T00:00:00"/>
    <x v="1"/>
    <n v="8005"/>
    <n v="0.85"/>
    <n v="0.75"/>
    <x v="0"/>
    <n v="12"/>
    <n v="51"/>
    <n v="0.8"/>
    <n v="-9.9999999999999978E-2"/>
  </r>
  <r>
    <n v="91"/>
    <n v="26419"/>
    <x v="8"/>
    <x v="1"/>
    <x v="1"/>
    <d v="2013-11-16T00:00:00"/>
    <d v="1970-03-28T00:00:00"/>
    <x v="1"/>
    <n v="7002"/>
    <n v="0.87"/>
    <n v="0.6"/>
    <x v="0"/>
    <n v="11"/>
    <n v="55"/>
    <n v="0.73499999999999999"/>
    <n v="-0.27"/>
  </r>
  <r>
    <n v="92"/>
    <n v="28927"/>
    <x v="9"/>
    <x v="1"/>
    <x v="0"/>
    <d v="2014-04-01T00:00:00"/>
    <d v="1969-02-20T00:00:00"/>
    <x v="1"/>
    <n v="23284"/>
    <n v="0.75"/>
    <n v="0.84"/>
    <x v="0"/>
    <n v="11"/>
    <n v="56"/>
    <n v="0.79499999999999993"/>
    <n v="8.9999999999999969E-2"/>
  </r>
  <r>
    <n v="93"/>
    <n v="26748"/>
    <x v="10"/>
    <x v="1"/>
    <x v="0"/>
    <d v="2014-05-12T00:00:00"/>
    <d v="1982-02-03T00:00:00"/>
    <x v="1"/>
    <n v="20019"/>
    <n v="0.89"/>
    <n v="0.78"/>
    <x v="0"/>
    <n v="11"/>
    <n v="43"/>
    <n v="0.83499999999999996"/>
    <n v="-0.10999999999999999"/>
  </r>
  <r>
    <n v="94"/>
    <n v="27494"/>
    <x v="20"/>
    <x v="1"/>
    <x v="1"/>
    <d v="2014-05-12T00:00:00"/>
    <d v="1978-10-29T00:00:00"/>
    <x v="1"/>
    <n v="11645"/>
    <n v="0.8"/>
    <n v="0.62"/>
    <x v="0"/>
    <n v="11"/>
    <n v="46"/>
    <n v="0.71"/>
    <n v="-0.18000000000000005"/>
  </r>
  <r>
    <n v="2"/>
    <n v="28127"/>
    <x v="24"/>
    <x v="2"/>
    <x v="1"/>
    <d v="2012-01-11T00:00:00"/>
    <d v="1965-09-04T00:00:00"/>
    <x v="2"/>
    <n v="21575"/>
    <n v="0.86"/>
    <n v="0.87"/>
    <x v="1"/>
    <n v="13"/>
    <n v="59"/>
    <n v="0.86499999999999999"/>
    <n v="1.0000000000000009E-2"/>
  </r>
  <r>
    <n v="14"/>
    <n v="26422"/>
    <x v="25"/>
    <x v="3"/>
    <x v="0"/>
    <d v="2005-02-15T00:00:00"/>
    <d v="1963-11-18T00:00:00"/>
    <x v="0"/>
    <n v="19023"/>
    <n v="0.78"/>
    <n v="0.89"/>
    <x v="1"/>
    <n v="20"/>
    <n v="61"/>
    <n v="0.83499999999999996"/>
    <n v="0.10999999999999999"/>
  </r>
  <r>
    <n v="15"/>
    <n v="26414"/>
    <x v="19"/>
    <x v="4"/>
    <x v="1"/>
    <d v="2010-04-24T00:00:00"/>
    <d v="1972-05-16T00:00:00"/>
    <x v="0"/>
    <n v="12801"/>
    <n v="0.75"/>
    <n v="0.76"/>
    <x v="1"/>
    <n v="15"/>
    <n v="53"/>
    <n v="0.755"/>
    <n v="1.0000000000000009E-2"/>
  </r>
  <r>
    <n v="24"/>
    <n v="30352"/>
    <x v="26"/>
    <x v="4"/>
    <x v="0"/>
    <d v="2016-04-23T00:00:00"/>
    <d v="1970-12-22T00:00:00"/>
    <x v="0"/>
    <n v="16742"/>
    <n v="0.87"/>
    <n v="0.87"/>
    <x v="1"/>
    <n v="9"/>
    <n v="54"/>
    <n v="0.87"/>
    <n v="0"/>
  </r>
  <r>
    <n v="25"/>
    <n v="26726"/>
    <x v="20"/>
    <x v="4"/>
    <x v="0"/>
    <d v="2016-04-30T00:00:00"/>
    <d v="1983-09-28T00:00:00"/>
    <x v="0"/>
    <n v="15635"/>
    <n v="0.84"/>
    <n v="0.84"/>
    <x v="1"/>
    <n v="9"/>
    <n v="41"/>
    <n v="0.84"/>
    <n v="0"/>
  </r>
  <r>
    <n v="35"/>
    <n v="26431"/>
    <x v="27"/>
    <x v="3"/>
    <x v="1"/>
    <d v="2017-04-08T00:00:00"/>
    <d v="1984-02-21T00:00:00"/>
    <x v="0"/>
    <n v="20897"/>
    <n v="0.83"/>
    <n v="0.67"/>
    <x v="1"/>
    <n v="8"/>
    <n v="41"/>
    <n v="0.75"/>
    <n v="-0.15999999999999992"/>
  </r>
  <r>
    <n v="36"/>
    <n v="26396"/>
    <x v="28"/>
    <x v="4"/>
    <x v="2"/>
    <d v="2013-09-10T00:00:00"/>
    <d v="1975-08-01T00:00:00"/>
    <x v="0"/>
    <n v="15730"/>
    <n v="0.86"/>
    <n v="0.53"/>
    <x v="1"/>
    <n v="11"/>
    <n v="49"/>
    <n v="0.69500000000000006"/>
    <n v="-0.32999999999999996"/>
  </r>
  <r>
    <n v="44"/>
    <n v="26445"/>
    <x v="21"/>
    <x v="4"/>
    <x v="1"/>
    <d v="2008-08-11T00:00:00"/>
    <d v="1969-10-20T00:00:00"/>
    <x v="0"/>
    <n v="16861"/>
    <n v="0.87"/>
    <n v="0.52"/>
    <x v="1"/>
    <n v="16"/>
    <n v="55"/>
    <n v="0.69500000000000006"/>
    <n v="-0.35"/>
  </r>
  <r>
    <n v="45"/>
    <n v="26400"/>
    <x v="22"/>
    <x v="4"/>
    <x v="0"/>
    <d v="2015-03-21T00:00:00"/>
    <d v="1970-10-15T00:00:00"/>
    <x v="0"/>
    <n v="5067"/>
    <n v="0.86"/>
    <n v="0.94"/>
    <x v="1"/>
    <n v="10"/>
    <n v="54"/>
    <n v="0.89999999999999991"/>
    <n v="7.999999999999996E-2"/>
  </r>
  <r>
    <n v="53"/>
    <n v="26443"/>
    <x v="4"/>
    <x v="4"/>
    <x v="1"/>
    <d v="2008-07-12T00:00:00"/>
    <d v="1970-02-09T00:00:00"/>
    <x v="0"/>
    <n v="12903"/>
    <n v="0.77"/>
    <n v="0.75"/>
    <x v="1"/>
    <n v="16"/>
    <n v="55"/>
    <n v="0.76"/>
    <n v="-2.0000000000000018E-2"/>
  </r>
  <r>
    <n v="63"/>
    <n v="26610"/>
    <x v="29"/>
    <x v="3"/>
    <x v="0"/>
    <d v="2018-01-21T00:00:00"/>
    <d v="1974-06-20T00:00:00"/>
    <x v="0"/>
    <n v="4388"/>
    <n v="0.86"/>
    <n v="0.47"/>
    <x v="1"/>
    <n v="7"/>
    <n v="50"/>
    <n v="0.66500000000000004"/>
    <n v="-0.39"/>
  </r>
  <r>
    <n v="64"/>
    <n v="26404"/>
    <x v="30"/>
    <x v="4"/>
    <x v="0"/>
    <d v="2018-12-29T00:00:00"/>
    <d v="1974-05-18T00:00:00"/>
    <x v="0"/>
    <n v="15454"/>
    <n v="0.87"/>
    <n v="0.94"/>
    <x v="1"/>
    <n v="6"/>
    <n v="51"/>
    <n v="0.90500000000000003"/>
    <n v="6.9999999999999951E-2"/>
  </r>
  <r>
    <n v="65"/>
    <n v="26402"/>
    <x v="31"/>
    <x v="4"/>
    <x v="1"/>
    <d v="2003-02-24T00:00:00"/>
    <d v="1968-10-13T00:00:00"/>
    <x v="0"/>
    <n v="24472"/>
    <n v="0.84"/>
    <n v="0.52"/>
    <x v="1"/>
    <n v="22"/>
    <n v="56"/>
    <n v="0.67999999999999994"/>
    <n v="-0.31999999999999995"/>
  </r>
  <r>
    <n v="66"/>
    <n v="26427"/>
    <x v="11"/>
    <x v="4"/>
    <x v="1"/>
    <d v="2003-07-15T00:00:00"/>
    <d v="1964-11-27T00:00:00"/>
    <x v="0"/>
    <n v="15992"/>
    <n v="0.82"/>
    <n v="0.91"/>
    <x v="1"/>
    <n v="21"/>
    <n v="60"/>
    <n v="0.86499999999999999"/>
    <n v="9.000000000000008E-2"/>
  </r>
  <r>
    <n v="76"/>
    <n v="26999"/>
    <x v="0"/>
    <x v="3"/>
    <x v="1"/>
    <d v="2016-05-25T00:00:00"/>
    <d v="1966-08-13T00:00:00"/>
    <x v="0"/>
    <n v="21183"/>
    <n v="0.85"/>
    <n v="0.66"/>
    <x v="1"/>
    <n v="9"/>
    <n v="58"/>
    <n v="0.755"/>
    <n v="-0.18999999999999995"/>
  </r>
  <r>
    <n v="77"/>
    <n v="28929"/>
    <x v="18"/>
    <x v="4"/>
    <x v="1"/>
    <d v="2014-05-24T00:00:00"/>
    <d v="1969-11-25T00:00:00"/>
    <x v="0"/>
    <n v="22459"/>
    <n v="0.86"/>
    <n v="0.43"/>
    <x v="1"/>
    <n v="11"/>
    <n v="55"/>
    <n v="0.64500000000000002"/>
    <n v="-0.43"/>
  </r>
  <r>
    <n v="87"/>
    <n v="26447"/>
    <x v="4"/>
    <x v="3"/>
    <x v="0"/>
    <d v="2008-08-09T00:00:00"/>
    <d v="1980-05-01T00:00:00"/>
    <x v="0"/>
    <n v="2227"/>
    <n v="0.8"/>
    <n v="0.59"/>
    <x v="1"/>
    <n v="16"/>
    <n v="45"/>
    <n v="0.69500000000000006"/>
    <n v="-0.21000000000000008"/>
  </r>
  <r>
    <n v="88"/>
    <n v="28227"/>
    <x v="5"/>
    <x v="4"/>
    <x v="0"/>
    <d v="2008-11-15T00:00:00"/>
    <d v="1972-04-06T00:00:00"/>
    <x v="0"/>
    <n v="1673"/>
    <n v="0.78"/>
    <n v="0.78"/>
    <x v="1"/>
    <n v="16"/>
    <n v="53"/>
    <n v="0.78"/>
    <n v="0"/>
  </r>
  <r>
    <n v="3"/>
    <n v="26446"/>
    <x v="16"/>
    <x v="5"/>
    <x v="2"/>
    <d v="2013-08-12T00:00:00"/>
    <d v="1982-02-08T00:00:00"/>
    <x v="2"/>
    <n v="25000"/>
    <n v="0.8"/>
    <n v="0.9"/>
    <x v="2"/>
    <n v="11"/>
    <n v="43"/>
    <n v="0.85000000000000009"/>
    <n v="9.9999999999999978E-2"/>
  </r>
  <r>
    <n v="9"/>
    <n v="26412"/>
    <x v="22"/>
    <x v="6"/>
    <x v="1"/>
    <d v="2008-11-15T00:00:00"/>
    <d v="1984-02-21T00:00:00"/>
    <x v="0"/>
    <n v="11492"/>
    <n v="0.81"/>
    <n v="0.77"/>
    <x v="2"/>
    <n v="16"/>
    <n v="41"/>
    <n v="0.79"/>
    <n v="-4.0000000000000036E-2"/>
  </r>
  <r>
    <n v="30"/>
    <n v="25905"/>
    <x v="31"/>
    <x v="6"/>
    <x v="0"/>
    <d v="2014-04-20T00:00:00"/>
    <d v="1964-11-07T00:00:00"/>
    <x v="0"/>
    <n v="5578"/>
    <n v="0.76"/>
    <n v="0.97"/>
    <x v="2"/>
    <n v="11"/>
    <n v="60"/>
    <n v="0.86499999999999999"/>
    <n v="0.20999999999999996"/>
  </r>
  <r>
    <n v="50"/>
    <n v="30350"/>
    <x v="25"/>
    <x v="6"/>
    <x v="1"/>
    <d v="2003-07-15T00:00:00"/>
    <d v="1969-12-02T00:00:00"/>
    <x v="0"/>
    <n v="6348"/>
    <n v="0.76"/>
    <n v="0.69"/>
    <x v="2"/>
    <n v="21"/>
    <n v="55"/>
    <n v="0.72499999999999998"/>
    <n v="-7.0000000000000062E-2"/>
  </r>
  <r>
    <n v="58"/>
    <n v="30349"/>
    <x v="9"/>
    <x v="6"/>
    <x v="2"/>
    <d v="2016-08-16T00:00:00"/>
    <d v="1970-11-04T00:00:00"/>
    <x v="0"/>
    <n v="1952"/>
    <n v="0.83"/>
    <n v="0.76"/>
    <x v="2"/>
    <n v="8"/>
    <n v="54"/>
    <n v="0.79499999999999993"/>
    <n v="-6.9999999999999951E-2"/>
  </r>
  <r>
    <n v="71"/>
    <n v="30460"/>
    <x v="13"/>
    <x v="6"/>
    <x v="1"/>
    <d v="2011-05-17T00:00:00"/>
    <d v="1976-12-06T00:00:00"/>
    <x v="0"/>
    <n v="18214"/>
    <n v="0.78"/>
    <n v="0.64"/>
    <x v="2"/>
    <n v="14"/>
    <n v="48"/>
    <n v="0.71"/>
    <n v="-0.14000000000000001"/>
  </r>
  <r>
    <n v="3"/>
    <n v="26446"/>
    <x v="16"/>
    <x v="5"/>
    <x v="2"/>
    <d v="2013-08-12T00:00:00"/>
    <d v="1982-02-08T00:00:00"/>
    <x v="2"/>
    <n v="25000"/>
    <n v="0.8"/>
    <n v="0.9"/>
    <x v="2"/>
    <n v="11"/>
    <n v="43"/>
    <n v="0.85000000000000009"/>
    <n v="9.9999999999999978E-2"/>
  </r>
  <r>
    <n v="9"/>
    <n v="26412"/>
    <x v="22"/>
    <x v="6"/>
    <x v="1"/>
    <d v="2008-11-15T00:00:00"/>
    <d v="1984-02-21T00:00:00"/>
    <x v="0"/>
    <n v="11492"/>
    <n v="0.81"/>
    <n v="0.77"/>
    <x v="2"/>
    <n v="16"/>
    <n v="41"/>
    <n v="0.79"/>
    <n v="-4.0000000000000036E-2"/>
  </r>
  <r>
    <n v="30"/>
    <n v="25905"/>
    <x v="31"/>
    <x v="6"/>
    <x v="0"/>
    <d v="2014-04-20T00:00:00"/>
    <d v="1964-11-07T00:00:00"/>
    <x v="0"/>
    <n v="5578"/>
    <n v="0.76"/>
    <n v="0.97"/>
    <x v="2"/>
    <n v="11"/>
    <n v="60"/>
    <n v="0.86499999999999999"/>
    <n v="0.20999999999999996"/>
  </r>
  <r>
    <n v="50"/>
    <n v="30350"/>
    <x v="25"/>
    <x v="6"/>
    <x v="1"/>
    <d v="2003-07-15T00:00:00"/>
    <d v="1969-12-02T00:00:00"/>
    <x v="0"/>
    <n v="6348"/>
    <n v="0.76"/>
    <n v="0.69"/>
    <x v="2"/>
    <n v="21"/>
    <n v="55"/>
    <n v="0.72499999999999998"/>
    <n v="-7.0000000000000062E-2"/>
  </r>
  <r>
    <n v="58"/>
    <n v="30349"/>
    <x v="9"/>
    <x v="6"/>
    <x v="2"/>
    <d v="2016-08-16T00:00:00"/>
    <d v="1970-11-04T00:00:00"/>
    <x v="0"/>
    <n v="1952"/>
    <n v="0.83"/>
    <n v="0.76"/>
    <x v="2"/>
    <n v="8"/>
    <n v="54"/>
    <n v="0.79499999999999993"/>
    <n v="-6.9999999999999951E-2"/>
  </r>
  <r>
    <n v="71"/>
    <n v="30460"/>
    <x v="13"/>
    <x v="6"/>
    <x v="1"/>
    <d v="2011-05-17T00:00:00"/>
    <d v="1976-12-06T00:00:00"/>
    <x v="0"/>
    <n v="18214"/>
    <n v="0.78"/>
    <n v="0.64"/>
    <x v="2"/>
    <n v="14"/>
    <n v="48"/>
    <n v="0.71"/>
    <n v="-0.14000000000000001"/>
  </r>
  <r>
    <n v="1"/>
    <n v="26434"/>
    <x v="15"/>
    <x v="7"/>
    <x v="1"/>
    <d v="2006-11-15T00:00:00"/>
    <d v="1980-11-12T00:00:00"/>
    <x v="0"/>
    <n v="20500"/>
    <n v="0.82"/>
    <n v="0.86"/>
    <x v="3"/>
    <n v="18"/>
    <n v="44"/>
    <n v="0.84"/>
    <n v="4.0000000000000036E-2"/>
  </r>
  <r>
    <n v="6"/>
    <n v="27154"/>
    <x v="18"/>
    <x v="8"/>
    <x v="1"/>
    <d v="2001-08-18T00:00:00"/>
    <d v="1966-07-08T00:00:00"/>
    <x v="0"/>
    <n v="17233"/>
    <n v="0.89"/>
    <n v="0.41"/>
    <x v="3"/>
    <n v="23"/>
    <n v="58"/>
    <n v="0.65"/>
    <n v="-0.48000000000000004"/>
  </r>
  <r>
    <n v="7"/>
    <n v="27008"/>
    <x v="32"/>
    <x v="9"/>
    <x v="2"/>
    <d v="2003-05-17T00:00:00"/>
    <d v="1982-09-01T00:00:00"/>
    <x v="0"/>
    <n v="19987"/>
    <n v="0.76"/>
    <n v="0.55000000000000004"/>
    <x v="3"/>
    <n v="22"/>
    <n v="42"/>
    <n v="0.65500000000000003"/>
    <n v="-0.20999999999999996"/>
  </r>
  <r>
    <n v="8"/>
    <n v="27621"/>
    <x v="21"/>
    <x v="10"/>
    <x v="0"/>
    <d v="2008-06-01T00:00:00"/>
    <d v="1981-02-08T00:00:00"/>
    <x v="0"/>
    <n v="23537"/>
    <n v="0.87"/>
    <n v="0.69"/>
    <x v="3"/>
    <n v="17"/>
    <n v="44"/>
    <n v="0.78"/>
    <n v="-0.18000000000000005"/>
  </r>
  <r>
    <n v="26"/>
    <n v="27374"/>
    <x v="33"/>
    <x v="9"/>
    <x v="1"/>
    <d v="2016-05-01T00:00:00"/>
    <d v="1975-07-28T00:00:00"/>
    <x v="0"/>
    <n v="7935"/>
    <n v="0.83"/>
    <n v="0.41"/>
    <x v="3"/>
    <n v="9"/>
    <n v="49"/>
    <n v="0.62"/>
    <n v="-0.42"/>
  </r>
  <r>
    <n v="27"/>
    <n v="29368"/>
    <x v="34"/>
    <x v="8"/>
    <x v="2"/>
    <d v="2016-05-25T00:00:00"/>
    <d v="1973-11-14T00:00:00"/>
    <x v="0"/>
    <n v="20121"/>
    <n v="0.8"/>
    <n v="0.64"/>
    <x v="3"/>
    <n v="9"/>
    <n v="51"/>
    <n v="0.72"/>
    <n v="-0.16000000000000003"/>
  </r>
  <r>
    <n v="28"/>
    <n v="27092"/>
    <x v="29"/>
    <x v="9"/>
    <x v="1"/>
    <d v="2016-08-15T00:00:00"/>
    <d v="1981-04-12T00:00:00"/>
    <x v="0"/>
    <n v="16408"/>
    <n v="0.76"/>
    <n v="0.91"/>
    <x v="3"/>
    <n v="8"/>
    <n v="44"/>
    <n v="0.83499999999999996"/>
    <n v="0.15000000000000002"/>
  </r>
  <r>
    <n v="29"/>
    <n v="26429"/>
    <x v="30"/>
    <x v="10"/>
    <x v="2"/>
    <d v="1995-11-26T00:00:00"/>
    <d v="1982-08-15T00:00:00"/>
    <x v="0"/>
    <n v="2323"/>
    <n v="0.83"/>
    <n v="0.75"/>
    <x v="3"/>
    <n v="29"/>
    <n v="42"/>
    <n v="0.79"/>
    <n v="-7.999999999999996E-2"/>
  </r>
  <r>
    <n v="46"/>
    <n v="26994"/>
    <x v="1"/>
    <x v="9"/>
    <x v="1"/>
    <d v="1998-03-01T00:00:00"/>
    <d v="1965-12-15T00:00:00"/>
    <x v="0"/>
    <n v="6553"/>
    <n v="0.75"/>
    <n v="0.75"/>
    <x v="3"/>
    <n v="27"/>
    <n v="59"/>
    <n v="0.75"/>
    <n v="0"/>
  </r>
  <r>
    <n v="47"/>
    <n v="27007"/>
    <x v="2"/>
    <x v="8"/>
    <x v="1"/>
    <d v="2000-01-19T00:00:00"/>
    <d v="1977-10-25T00:00:00"/>
    <x v="0"/>
    <n v="13054"/>
    <n v="0.82"/>
    <n v="0.48"/>
    <x v="3"/>
    <n v="25"/>
    <n v="47"/>
    <n v="0.64999999999999991"/>
    <n v="-0.33999999999999997"/>
  </r>
  <r>
    <n v="48"/>
    <n v="26424"/>
    <x v="23"/>
    <x v="9"/>
    <x v="1"/>
    <d v="2001-08-15T00:00:00"/>
    <d v="1974-04-11T00:00:00"/>
    <x v="0"/>
    <n v="20909"/>
    <n v="0.88"/>
    <n v="0.46"/>
    <x v="3"/>
    <n v="23"/>
    <n v="51"/>
    <n v="0.67"/>
    <n v="-0.42"/>
  </r>
  <r>
    <n v="49"/>
    <n v="26415"/>
    <x v="35"/>
    <x v="10"/>
    <x v="2"/>
    <d v="2002-07-23T00:00:00"/>
    <d v="1969-08-12T00:00:00"/>
    <x v="0"/>
    <n v="23771"/>
    <n v="0.88"/>
    <n v="0.63"/>
    <x v="3"/>
    <n v="22"/>
    <n v="55"/>
    <n v="0.755"/>
    <n v="-0.25"/>
  </r>
  <r>
    <n v="54"/>
    <n v="27143"/>
    <x v="5"/>
    <x v="9"/>
    <x v="1"/>
    <d v="2014-04-19T00:00:00"/>
    <d v="1969-08-19T00:00:00"/>
    <x v="0"/>
    <n v="8529"/>
    <n v="0.83"/>
    <n v="0.77"/>
    <x v="3"/>
    <n v="11"/>
    <n v="55"/>
    <n v="0.8"/>
    <n v="-5.9999999999999942E-2"/>
  </r>
  <r>
    <n v="55"/>
    <n v="27393"/>
    <x v="6"/>
    <x v="8"/>
    <x v="0"/>
    <d v="2014-12-04T00:00:00"/>
    <d v="1980-11-02T00:00:00"/>
    <x v="0"/>
    <n v="3453"/>
    <n v="0.87"/>
    <n v="0.83"/>
    <x v="3"/>
    <n v="10"/>
    <n v="44"/>
    <n v="0.85"/>
    <n v="-4.0000000000000036E-2"/>
  </r>
  <r>
    <n v="56"/>
    <n v="30351"/>
    <x v="7"/>
    <x v="9"/>
    <x v="0"/>
    <d v="2015-02-18T00:00:00"/>
    <d v="1974-03-10T00:00:00"/>
    <x v="0"/>
    <n v="14170"/>
    <n v="0.77"/>
    <n v="0.89"/>
    <x v="3"/>
    <n v="10"/>
    <n v="51"/>
    <n v="0.83000000000000007"/>
    <n v="0.12"/>
  </r>
  <r>
    <n v="57"/>
    <n v="26441"/>
    <x v="8"/>
    <x v="10"/>
    <x v="2"/>
    <d v="2016-08-15T00:00:00"/>
    <d v="1984-11-01T00:00:00"/>
    <x v="0"/>
    <n v="3254"/>
    <n v="0.81"/>
    <n v="0.85"/>
    <x v="3"/>
    <n v="8"/>
    <n v="40"/>
    <n v="0.83000000000000007"/>
    <n v="3.9999999999999925E-2"/>
  </r>
  <r>
    <n v="67"/>
    <n v="27009"/>
    <x v="12"/>
    <x v="9"/>
    <x v="0"/>
    <d v="2006-04-09T00:00:00"/>
    <d v="1967-11-05T00:00:00"/>
    <x v="0"/>
    <n v="5735"/>
    <n v="0.82"/>
    <n v="0.69"/>
    <x v="3"/>
    <n v="19"/>
    <n v="57"/>
    <n v="0.75499999999999989"/>
    <n v="-0.13"/>
  </r>
  <r>
    <n v="68"/>
    <n v="26428"/>
    <x v="36"/>
    <x v="8"/>
    <x v="0"/>
    <d v="2007-08-04T00:00:00"/>
    <d v="1970-01-04T00:00:00"/>
    <x v="0"/>
    <n v="2725"/>
    <n v="0.8"/>
    <n v="0.54"/>
    <x v="3"/>
    <n v="17"/>
    <n v="55"/>
    <n v="0.67"/>
    <n v="-0.26"/>
  </r>
  <r>
    <n v="69"/>
    <n v="26417"/>
    <x v="37"/>
    <x v="9"/>
    <x v="1"/>
    <d v="2008-10-04T00:00:00"/>
    <d v="1971-02-17T00:00:00"/>
    <x v="0"/>
    <n v="5909"/>
    <n v="0.76"/>
    <n v="0.43"/>
    <x v="3"/>
    <n v="16"/>
    <n v="54"/>
    <n v="0.59499999999999997"/>
    <n v="-0.33"/>
  </r>
  <r>
    <n v="70"/>
    <n v="27150"/>
    <x v="28"/>
    <x v="10"/>
    <x v="1"/>
    <d v="2010-01-02T00:00:00"/>
    <d v="1964-12-15T00:00:00"/>
    <x v="0"/>
    <n v="11445"/>
    <n v="0.8"/>
    <n v="0.57999999999999996"/>
    <x v="3"/>
    <n v="15"/>
    <n v="60"/>
    <n v="0.69"/>
    <n v="-0.22000000000000008"/>
  </r>
  <r>
    <n v="83"/>
    <n v="26399"/>
    <x v="35"/>
    <x v="8"/>
    <x v="1"/>
    <d v="2002-01-26T00:00:00"/>
    <d v="1982-04-01T00:00:00"/>
    <x v="0"/>
    <n v="6834"/>
    <n v="0.83"/>
    <n v="0.64"/>
    <x v="3"/>
    <n v="23"/>
    <n v="43"/>
    <n v="0.73499999999999999"/>
    <n v="-0.18999999999999995"/>
  </r>
  <r>
    <n v="84"/>
    <n v="26442"/>
    <x v="25"/>
    <x v="9"/>
    <x v="0"/>
    <d v="2003-12-20T00:00:00"/>
    <d v="1968-05-11T00:00:00"/>
    <x v="0"/>
    <n v="1860"/>
    <n v="0.89"/>
    <n v="0.94"/>
    <x v="3"/>
    <n v="21"/>
    <n v="57"/>
    <n v="0.91500000000000004"/>
    <n v="4.9999999999999933E-2"/>
  </r>
  <r>
    <n v="85"/>
    <n v="25908"/>
    <x v="19"/>
    <x v="10"/>
    <x v="0"/>
    <d v="2005-02-20T00:00:00"/>
    <d v="1972-11-15T00:00:00"/>
    <x v="0"/>
    <n v="8730"/>
    <n v="0.88"/>
    <n v="0.95"/>
    <x v="3"/>
    <n v="20"/>
    <n v="52"/>
    <n v="0.91500000000000004"/>
    <n v="6.9999999999999951E-2"/>
  </r>
  <r>
    <n v="4"/>
    <n v="29769"/>
    <x v="17"/>
    <x v="11"/>
    <x v="0"/>
    <d v="2013-08-13T00:00:00"/>
    <d v="1972-07-14T00:00:00"/>
    <x v="2"/>
    <n v="26520"/>
    <n v="0.81"/>
    <n v="0.66"/>
    <x v="4"/>
    <n v="11"/>
    <n v="52"/>
    <n v="0.7350000000000001"/>
    <n v="-0.15000000000000002"/>
  </r>
  <r>
    <n v="12"/>
    <n v="26401"/>
    <x v="23"/>
    <x v="12"/>
    <x v="0"/>
    <d v="2016-04-17T00:00:00"/>
    <d v="1970-05-29T00:00:00"/>
    <x v="0"/>
    <n v="16455"/>
    <n v="0.75"/>
    <n v="0.92"/>
    <x v="4"/>
    <n v="9"/>
    <n v="55"/>
    <n v="0.83499999999999996"/>
    <n v="0.17000000000000004"/>
  </r>
  <r>
    <n v="13"/>
    <n v="26435"/>
    <x v="35"/>
    <x v="12"/>
    <x v="2"/>
    <d v="2001-08-28T00:00:00"/>
    <d v="1962-09-21T00:00:00"/>
    <x v="0"/>
    <n v="4981"/>
    <n v="0.77"/>
    <n v="0.86"/>
    <x v="4"/>
    <n v="23"/>
    <n v="62"/>
    <n v="0.81499999999999995"/>
    <n v="8.9999999999999969E-2"/>
  </r>
  <r>
    <n v="33"/>
    <n v="26410"/>
    <x v="36"/>
    <x v="12"/>
    <x v="2"/>
    <d v="2016-02-17T00:00:00"/>
    <d v="1975-08-20T00:00:00"/>
    <x v="0"/>
    <n v="3165"/>
    <n v="0.84"/>
    <n v="0.78"/>
    <x v="4"/>
    <n v="9"/>
    <n v="49"/>
    <n v="0.81"/>
    <n v="-5.9999999999999942E-2"/>
  </r>
  <r>
    <n v="34"/>
    <n v="27385"/>
    <x v="37"/>
    <x v="12"/>
    <x v="1"/>
    <d v="2016-04-02T00:00:00"/>
    <d v="1967-11-09T00:00:00"/>
    <x v="0"/>
    <n v="20883"/>
    <n v="0.85"/>
    <n v="0.76"/>
    <x v="4"/>
    <n v="9"/>
    <n v="57"/>
    <n v="0.80499999999999994"/>
    <n v="-8.9999999999999969E-2"/>
  </r>
  <r>
    <n v="61"/>
    <n v="26389"/>
    <x v="33"/>
    <x v="12"/>
    <x v="0"/>
    <d v="2017-12-02T00:00:00"/>
    <d v="1959-05-25T00:00:00"/>
    <x v="0"/>
    <n v="13380"/>
    <n v="0.8"/>
    <n v="0.72"/>
    <x v="4"/>
    <n v="7"/>
    <n v="66"/>
    <n v="0.76"/>
    <n v="-8.0000000000000071E-2"/>
  </r>
  <r>
    <n v="62"/>
    <n v="30459"/>
    <x v="34"/>
    <x v="12"/>
    <x v="2"/>
    <d v="2018-12-10T00:00:00"/>
    <d v="1969-08-23T00:00:00"/>
    <x v="0"/>
    <n v="18856"/>
    <n v="0.81"/>
    <n v="0.48"/>
    <x v="4"/>
    <n v="6"/>
    <n v="55"/>
    <n v="0.64500000000000002"/>
    <n v="-0.33000000000000007"/>
  </r>
  <r>
    <n v="74"/>
    <n v="27780"/>
    <x v="16"/>
    <x v="12"/>
    <x v="2"/>
    <d v="2016-02-03T00:00:00"/>
    <d v="1983-05-09T00:00:00"/>
    <x v="0"/>
    <n v="13891"/>
    <n v="0.86"/>
    <n v="0.97"/>
    <x v="4"/>
    <n v="9"/>
    <n v="42"/>
    <n v="0.91500000000000004"/>
    <n v="0.10999999999999999"/>
  </r>
  <r>
    <n v="75"/>
    <n v="25907"/>
    <x v="17"/>
    <x v="12"/>
    <x v="1"/>
    <d v="2016-02-17T00:00:00"/>
    <d v="1977-02-01T00:00:00"/>
    <x v="0"/>
    <n v="19451"/>
    <n v="0.77"/>
    <n v="0.63"/>
    <x v="4"/>
    <n v="9"/>
    <n v="48"/>
    <n v="0.7"/>
    <n v="-0.14000000000000001"/>
  </r>
  <r>
    <n v="86"/>
    <n v="27144"/>
    <x v="3"/>
    <x v="12"/>
    <x v="0"/>
    <d v="2007-01-20T00:00:00"/>
    <d v="1967-12-01T00:00:00"/>
    <x v="0"/>
    <n v="2185"/>
    <n v="0.79"/>
    <n v="0.65"/>
    <x v="4"/>
    <n v="18"/>
    <n v="57"/>
    <n v="0.72"/>
    <n v="-0.14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DAB59-09AA-4515-B89C-0E443EF768D8}"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9:G43" firstHeaderRow="1" firstDataRow="1" firstDataCol="1"/>
  <pivotFields count="16">
    <pivotField showAll="0"/>
    <pivotField numFmtId="1" showAll="0"/>
    <pivotField showAll="0"/>
    <pivotField showAll="0"/>
    <pivotField axis="axisRow" showAll="0">
      <items count="7">
        <item x="1"/>
        <item m="1" x="5"/>
        <item m="1" x="4"/>
        <item x="0"/>
        <item m="1" x="3"/>
        <item x="2"/>
        <item t="default"/>
      </items>
    </pivotField>
    <pivotField numFmtId="14" showAll="0"/>
    <pivotField numFmtId="14" showAll="0"/>
    <pivotField showAll="0"/>
    <pivotField showAll="0"/>
    <pivotField numFmtId="9" showAll="0"/>
    <pivotField numFmtId="9" showAll="0"/>
    <pivotField showAll="0"/>
    <pivotField showAll="0"/>
    <pivotField showAll="0"/>
    <pivotField dataField="1" numFmtId="164" showAll="0"/>
    <pivotField numFmtId="165" showAll="0"/>
  </pivotFields>
  <rowFields count="1">
    <field x="4"/>
  </rowFields>
  <rowItems count="4">
    <i>
      <x/>
    </i>
    <i>
      <x v="3"/>
    </i>
    <i>
      <x v="5"/>
    </i>
    <i t="grand">
      <x/>
    </i>
  </rowItems>
  <colItems count="1">
    <i/>
  </colItems>
  <dataFields count="1">
    <dataField name="Sum of total Avg Performance"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C1FCC1-0F6E-48EB-9C4F-7CDDF388F1EB}"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C41" firstHeaderRow="0" firstDataRow="1" firstDataCol="1"/>
  <pivotFields count="16">
    <pivotField showAll="0"/>
    <pivotField numFmtId="1" showAll="0"/>
    <pivotField showAll="0"/>
    <pivotField axis="axisRow" showAll="0">
      <items count="14">
        <item x="12"/>
        <item x="3"/>
        <item x="11"/>
        <item x="10"/>
        <item x="7"/>
        <item x="8"/>
        <item x="5"/>
        <item x="2"/>
        <item x="4"/>
        <item x="9"/>
        <item x="0"/>
        <item x="1"/>
        <item x="6"/>
        <item t="default"/>
      </items>
    </pivotField>
    <pivotField showAll="0">
      <items count="7">
        <item x="1"/>
        <item m="1" x="5"/>
        <item m="1" x="4"/>
        <item x="0"/>
        <item m="1" x="3"/>
        <item x="2"/>
        <item t="default"/>
      </items>
    </pivotField>
    <pivotField numFmtId="14" showAll="0"/>
    <pivotField numFmtId="14" showAll="0"/>
    <pivotField showAll="0"/>
    <pivotField showAll="0"/>
    <pivotField dataField="1" numFmtId="9" showAll="0"/>
    <pivotField dataField="1" numFmtId="9" showAll="0"/>
    <pivotField showAll="0"/>
    <pivotField showAll="0"/>
    <pivotField showAll="0"/>
    <pivotField numFmtId="164" showAll="0"/>
    <pivotField numFmtId="165" showAll="0"/>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PER 2019" fld="9" subtotal="average" baseField="3" baseItem="0" numFmtId="9"/>
    <dataField name="Average of PER 2020" fld="10" subtotal="average" baseField="3" baseItem="0" numFmtId="9"/>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3" count="1" selected="0">
            <x v="7"/>
          </reference>
        </references>
      </pivotArea>
    </chartFormat>
    <chartFormat chart="2" format="7">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BF0D6-D5E3-44D2-9CFF-4D04B5E2551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ite">
  <location ref="F2:G34" firstHeaderRow="1" firstDataRow="1" firstDataCol="1"/>
  <pivotFields count="16">
    <pivotField showAll="0"/>
    <pivotField numFmtId="1" showAll="0"/>
    <pivotField showAll="0">
      <items count="39">
        <item x="15"/>
        <item x="0"/>
        <item x="6"/>
        <item x="31"/>
        <item x="2"/>
        <item x="21"/>
        <item x="32"/>
        <item x="3"/>
        <item x="36"/>
        <item x="4"/>
        <item x="37"/>
        <item x="34"/>
        <item x="23"/>
        <item x="24"/>
        <item x="19"/>
        <item x="17"/>
        <item x="29"/>
        <item x="22"/>
        <item x="11"/>
        <item x="14"/>
        <item x="20"/>
        <item x="16"/>
        <item x="27"/>
        <item x="9"/>
        <item x="8"/>
        <item x="18"/>
        <item x="33"/>
        <item x="26"/>
        <item x="25"/>
        <item x="35"/>
        <item x="13"/>
        <item x="30"/>
        <item x="7"/>
        <item x="28"/>
        <item x="1"/>
        <item x="10"/>
        <item x="12"/>
        <item x="5"/>
        <item t="default"/>
      </items>
    </pivotField>
    <pivotField axis="axisRow" showAll="0">
      <items count="14">
        <item x="12"/>
        <item x="3"/>
        <item x="11"/>
        <item x="10"/>
        <item x="7"/>
        <item x="8"/>
        <item x="5"/>
        <item x="2"/>
        <item x="4"/>
        <item x="9"/>
        <item x="0"/>
        <item x="1"/>
        <item x="6"/>
        <item t="default"/>
      </items>
    </pivotField>
    <pivotField axis="axisRow" showAll="0">
      <items count="7">
        <item x="1"/>
        <item m="1" x="5"/>
        <item m="1" x="4"/>
        <item x="0"/>
        <item m="1" x="3"/>
        <item x="2"/>
        <item t="default"/>
      </items>
    </pivotField>
    <pivotField numFmtId="14" showAll="0"/>
    <pivotField numFmtId="14" showAll="0"/>
    <pivotField showAll="0"/>
    <pivotField dataField="1"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2">
    <field x="4"/>
    <field x="3"/>
  </rowFields>
  <rowItems count="32">
    <i>
      <x/>
    </i>
    <i r="1">
      <x/>
    </i>
    <i r="1">
      <x v="1"/>
    </i>
    <i r="1">
      <x v="3"/>
    </i>
    <i r="1">
      <x v="4"/>
    </i>
    <i r="1">
      <x v="5"/>
    </i>
    <i r="1">
      <x v="7"/>
    </i>
    <i r="1">
      <x v="8"/>
    </i>
    <i r="1">
      <x v="9"/>
    </i>
    <i r="1">
      <x v="11"/>
    </i>
    <i r="1">
      <x v="12"/>
    </i>
    <i>
      <x v="3"/>
    </i>
    <i r="1">
      <x/>
    </i>
    <i r="1">
      <x v="1"/>
    </i>
    <i r="1">
      <x v="2"/>
    </i>
    <i r="1">
      <x v="3"/>
    </i>
    <i r="1">
      <x v="5"/>
    </i>
    <i r="1">
      <x v="8"/>
    </i>
    <i r="1">
      <x v="9"/>
    </i>
    <i r="1">
      <x v="10"/>
    </i>
    <i r="1">
      <x v="11"/>
    </i>
    <i r="1">
      <x v="12"/>
    </i>
    <i>
      <x v="5"/>
    </i>
    <i r="1">
      <x/>
    </i>
    <i r="1">
      <x v="3"/>
    </i>
    <i r="1">
      <x v="5"/>
    </i>
    <i r="1">
      <x v="6"/>
    </i>
    <i r="1">
      <x v="8"/>
    </i>
    <i r="1">
      <x v="9"/>
    </i>
    <i r="1">
      <x v="11"/>
    </i>
    <i r="1">
      <x v="12"/>
    </i>
    <i t="grand">
      <x/>
    </i>
  </rowItems>
  <colItems count="1">
    <i/>
  </colItems>
  <dataFields count="1">
    <dataField name="Sum of Salaries" fld="8" baseField="0" baseItem="0"/>
  </dataFields>
  <formats count="4">
    <format dxfId="1">
      <pivotArea type="all" dataOnly="0" outline="0" fieldPosition="0"/>
    </format>
    <format dxfId="2">
      <pivotArea outline="0" collapsedLevelsAreSubtotals="1" fieldPosition="0"/>
    </format>
    <format dxfId="3">
      <pivotArea dataOnly="0" labelOnly="1" grandRow="1" outline="0" fieldPosition="0"/>
    </format>
    <format dxfId="4">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BD586-980B-4A72-9CF7-1E24D69E0E1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Site">
  <location ref="L9:M13" firstHeaderRow="1" firstDataRow="1" firstDataCol="1"/>
  <pivotFields count="16">
    <pivotField showAll="0"/>
    <pivotField numFmtId="1" showAll="0"/>
    <pivotField showAll="0"/>
    <pivotField showAll="0"/>
    <pivotField axis="axisRow" showAll="0">
      <items count="7">
        <item x="1"/>
        <item m="1" x="5"/>
        <item m="1" x="4"/>
        <item x="0"/>
        <item m="1" x="3"/>
        <item x="2"/>
        <item t="default"/>
      </items>
    </pivotField>
    <pivotField numFmtId="14" showAll="0"/>
    <pivotField numFmtId="14" showAll="0"/>
    <pivotField showAll="0"/>
    <pivotField dataField="1"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1">
    <field x="4"/>
  </rowFields>
  <rowItems count="4">
    <i>
      <x/>
    </i>
    <i>
      <x v="3"/>
    </i>
    <i>
      <x v="5"/>
    </i>
    <i t="grand">
      <x/>
    </i>
  </rowItems>
  <colItems count="1">
    <i/>
  </colItems>
  <dataFields count="1">
    <dataField name="Total Salaries" fld="8" baseField="0" baseItem="0"/>
  </dataFields>
  <formats count="4">
    <format dxfId="8">
      <pivotArea type="all" dataOnly="0" outline="0" fieldPosition="0"/>
    </format>
    <format dxfId="7">
      <pivotArea outline="0" collapsedLevelsAreSubtotals="1" fieldPosition="0"/>
    </format>
    <format dxfId="6">
      <pivotArea dataOnly="0" labelOnly="1" grandRow="1" outline="0" fieldPosition="0"/>
    </format>
    <format dxfId="5">
      <pivotArea dataOnly="0" labelOnly="1" outline="0" axis="axisValues" fieldPosition="0"/>
    </format>
  </formats>
  <chartFormats count="4">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4" count="1" selected="0">
            <x v="0"/>
          </reference>
        </references>
      </pivotArea>
    </chartFormat>
    <chartFormat chart="28" format="7">
      <pivotArea type="data" outline="0" fieldPosition="0">
        <references count="2">
          <reference field="4294967294" count="1" selected="0">
            <x v="0"/>
          </reference>
          <reference field="4" count="1" selected="0">
            <x v="3"/>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B414F-8D1A-4C8C-A90F-CECAD8EEB3A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ite VS Academic Level">
  <location ref="L16:M29" firstHeaderRow="1" firstDataRow="1" firstDataCol="1"/>
  <pivotFields count="16">
    <pivotField showAll="0"/>
    <pivotField dataField="1" numFmtId="1" showAll="0"/>
    <pivotField showAll="0"/>
    <pivotField showAll="0"/>
    <pivotField axis="axisRow" showAll="0">
      <items count="7">
        <item x="1"/>
        <item m="1" x="5"/>
        <item m="1" x="4"/>
        <item x="0"/>
        <item m="1" x="3"/>
        <item x="2"/>
        <item t="default"/>
      </items>
    </pivotField>
    <pivotField numFmtId="14" showAll="0"/>
    <pivotField numFmtId="14" showAll="0"/>
    <pivotField axis="axisRow" showAll="0">
      <items count="4">
        <item x="0"/>
        <item x="1"/>
        <item x="2"/>
        <item t="default"/>
      </items>
    </pivotField>
    <pivotField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2">
    <field x="4"/>
    <field x="7"/>
  </rowFields>
  <rowItems count="13">
    <i>
      <x/>
    </i>
    <i r="1">
      <x/>
    </i>
    <i r="1">
      <x v="1"/>
    </i>
    <i r="1">
      <x v="2"/>
    </i>
    <i>
      <x v="3"/>
    </i>
    <i r="1">
      <x/>
    </i>
    <i r="1">
      <x v="1"/>
    </i>
    <i r="1">
      <x v="2"/>
    </i>
    <i>
      <x v="5"/>
    </i>
    <i r="1">
      <x/>
    </i>
    <i r="1">
      <x v="1"/>
    </i>
    <i r="1">
      <x v="2"/>
    </i>
    <i t="grand">
      <x/>
    </i>
  </rowItems>
  <colItems count="1">
    <i/>
  </colItems>
  <dataFields count="1">
    <dataField name="No of Employees" fld="1" subtotal="count" baseField="7" baseItem="0"/>
  </dataFields>
  <formats count="4">
    <format dxfId="12">
      <pivotArea type="all" dataOnly="0" outline="0" fieldPosition="0"/>
    </format>
    <format dxfId="11">
      <pivotArea outline="0" collapsedLevelsAreSubtotals="1" fieldPosition="0"/>
    </format>
    <format dxfId="10">
      <pivotArea dataOnly="0" labelOnly="1" grandRow="1" outline="0"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A84570-71FD-4DA3-B482-60CDF2D1306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Site">
  <location ref="A11:C15" firstHeaderRow="0" firstDataRow="1" firstDataCol="1"/>
  <pivotFields count="16">
    <pivotField showAll="0"/>
    <pivotField numFmtId="1" showAll="0"/>
    <pivotField showAll="0"/>
    <pivotField showAll="0"/>
    <pivotField axis="axisRow" showAll="0">
      <items count="7">
        <item x="1"/>
        <item m="1" x="5"/>
        <item m="1" x="4"/>
        <item x="0"/>
        <item m="1" x="3"/>
        <item x="2"/>
        <item t="default"/>
      </items>
    </pivotField>
    <pivotField numFmtId="14" showAll="0"/>
    <pivotField numFmtId="14" showAll="0"/>
    <pivotField showAll="0"/>
    <pivotField showAll="0"/>
    <pivotField numFmtId="9" showAll="0"/>
    <pivotField numFmtId="9" showAll="0"/>
    <pivotField showAll="0">
      <items count="6">
        <item x="4"/>
        <item x="3"/>
        <item x="2"/>
        <item x="1"/>
        <item x="0"/>
        <item t="default"/>
      </items>
    </pivotField>
    <pivotField dataField="1" showAll="0"/>
    <pivotField dataField="1" showAll="0"/>
    <pivotField numFmtId="164" showAll="0"/>
    <pivotField numFmtId="165" showAll="0"/>
  </pivotFields>
  <rowFields count="1">
    <field x="4"/>
  </rowFields>
  <rowItems count="4">
    <i>
      <x/>
    </i>
    <i>
      <x v="3"/>
    </i>
    <i>
      <x v="5"/>
    </i>
    <i t="grand">
      <x/>
    </i>
  </rowItems>
  <colFields count="1">
    <field x="-2"/>
  </colFields>
  <colItems count="2">
    <i>
      <x/>
    </i>
    <i i="1">
      <x v="1"/>
    </i>
  </colItems>
  <dataFields count="2">
    <dataField name="Average of Years of Experience " fld="12" subtotal="average" baseField="11" baseItem="0" numFmtId="1"/>
    <dataField name="Average of Age" fld="13" subtotal="average" baseField="11" baseItem="0" numFmtId="1"/>
  </dataFields>
  <formats count="6">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type="all" dataOnly="0" outline="0" fieldPosition="0"/>
    </format>
    <format dxfId="15">
      <pivotArea outline="0" collapsedLevelsAreSubtotals="1" fieldPosition="0"/>
    </format>
    <format dxfId="14">
      <pivotArea dataOnly="0" labelOnly="1" grandRow="1" outline="0" fieldPosition="0"/>
    </format>
    <format dxfId="13">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53C8EE-6B5F-4C67-A1FE-65F9BED8282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ite">
  <location ref="A20:D24" firstHeaderRow="0" firstDataRow="1" firstDataCol="1"/>
  <pivotFields count="16">
    <pivotField showAll="0"/>
    <pivotField numFmtId="1" showAll="0"/>
    <pivotField showAll="0"/>
    <pivotField showAll="0"/>
    <pivotField axis="axisRow" showAll="0">
      <items count="7">
        <item x="1"/>
        <item m="1" x="5"/>
        <item m="1" x="4"/>
        <item x="0"/>
        <item m="1" x="3"/>
        <item x="2"/>
        <item t="default"/>
      </items>
    </pivotField>
    <pivotField numFmtId="14" showAll="0"/>
    <pivotField numFmtId="14" showAll="0"/>
    <pivotField showAll="0"/>
    <pivotField dataField="1"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1">
    <field x="4"/>
  </rowFields>
  <rowItems count="4">
    <i>
      <x/>
    </i>
    <i>
      <x v="3"/>
    </i>
    <i>
      <x v="5"/>
    </i>
    <i t="grand">
      <x/>
    </i>
  </rowItems>
  <colFields count="1">
    <field x="-2"/>
  </colFields>
  <colItems count="3">
    <i>
      <x/>
    </i>
    <i i="1">
      <x v="1"/>
    </i>
    <i i="2">
      <x v="2"/>
    </i>
  </colItems>
  <dataFields count="3">
    <dataField name="Min Salary" fld="8" subtotal="min" baseField="4" baseItem="0"/>
    <dataField name="Max Salary" fld="8" subtotal="max" baseField="4" baseItem="0"/>
    <dataField name="Average Salary" fld="8" subtotal="average" baseField="4" baseItem="0"/>
  </dataFields>
  <formats count="3">
    <format dxfId="21">
      <pivotArea type="all" dataOnly="0" outline="0" fieldPosition="0"/>
    </format>
    <format dxfId="20">
      <pivotArea outline="0" collapsedLevelsAreSubtotals="1" fieldPosition="0"/>
    </format>
    <format dxfId="19">
      <pivotArea dataOnly="0" labelOnly="1" grandRow="1" outline="0" fieldPosition="0"/>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9DD852-1F79-443F-9C54-564BCF5C6A2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ite">
  <location ref="A2:D6" firstHeaderRow="0" firstDataRow="1" firstDataCol="1"/>
  <pivotFields count="16">
    <pivotField showAll="0"/>
    <pivotField numFmtId="1" showAll="0"/>
    <pivotField showAll="0"/>
    <pivotField showAll="0"/>
    <pivotField axis="axisRow" showAll="0">
      <items count="7">
        <item m="1" x="5"/>
        <item m="1" x="4"/>
        <item x="0"/>
        <item m="1" x="3"/>
        <item x="2"/>
        <item x="1"/>
        <item t="default"/>
      </items>
    </pivotField>
    <pivotField numFmtId="14" showAll="0"/>
    <pivotField numFmtId="14" showAll="0"/>
    <pivotField showAll="0"/>
    <pivotField showAll="0"/>
    <pivotField dataField="1" numFmtId="9" showAll="0"/>
    <pivotField dataField="1" numFmtId="9" showAll="0"/>
    <pivotField showAll="0">
      <items count="6">
        <item x="4"/>
        <item x="3"/>
        <item x="2"/>
        <item x="1"/>
        <item x="0"/>
        <item t="default"/>
      </items>
    </pivotField>
    <pivotField showAll="0"/>
    <pivotField showAll="0"/>
    <pivotField numFmtId="164" showAll="0"/>
    <pivotField dataField="1" numFmtId="165" showAll="0"/>
  </pivotFields>
  <rowFields count="1">
    <field x="4"/>
  </rowFields>
  <rowItems count="4">
    <i>
      <x v="2"/>
    </i>
    <i>
      <x v="4"/>
    </i>
    <i>
      <x v="5"/>
    </i>
    <i t="grand">
      <x/>
    </i>
  </rowItems>
  <colFields count="1">
    <field x="-2"/>
  </colFields>
  <colItems count="3">
    <i>
      <x/>
    </i>
    <i i="1">
      <x v="1"/>
    </i>
    <i i="2">
      <x v="2"/>
    </i>
  </colItems>
  <dataFields count="3">
    <dataField name="Average of PER 2020" fld="10" subtotal="average" baseField="0" baseItem="1" numFmtId="9"/>
    <dataField name="Average of PER 2019" fld="9" subtotal="average" baseField="11" baseItem="0" numFmtId="9"/>
    <dataField name="Average of Delta" fld="15" subtotal="average" baseField="11" baseItem="0" numFmtId="165"/>
  </dataFields>
  <formats count="4">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fieldPosition="0">
        <references count="1">
          <reference field="4294967294" count="3">
            <x v="0"/>
            <x v="1"/>
            <x v="2"/>
          </reference>
        </references>
      </pivotArea>
    </format>
  </formats>
  <chartFormats count="9">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E55CD3-289E-44AC-BD0E-5E3C673628F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ite">
  <location ref="I2:J34" firstHeaderRow="1" firstDataRow="1" firstDataCol="1"/>
  <pivotFields count="16">
    <pivotField showAll="0"/>
    <pivotField dataField="1" numFmtId="1" showAll="0"/>
    <pivotField showAll="0"/>
    <pivotField axis="axisRow" showAll="0">
      <items count="14">
        <item x="12"/>
        <item x="3"/>
        <item x="11"/>
        <item x="10"/>
        <item x="7"/>
        <item x="8"/>
        <item x="5"/>
        <item x="2"/>
        <item x="4"/>
        <item x="9"/>
        <item x="0"/>
        <item x="1"/>
        <item x="6"/>
        <item t="default"/>
      </items>
    </pivotField>
    <pivotField axis="axisRow" showAll="0">
      <items count="7">
        <item x="1"/>
        <item m="1" x="5"/>
        <item m="1" x="4"/>
        <item x="0"/>
        <item m="1" x="3"/>
        <item x="2"/>
        <item t="default"/>
      </items>
    </pivotField>
    <pivotField numFmtId="14" showAll="0"/>
    <pivotField numFmtId="14" showAll="0"/>
    <pivotField showAll="0"/>
    <pivotField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2">
    <field x="4"/>
    <field x="3"/>
  </rowFields>
  <rowItems count="32">
    <i>
      <x/>
    </i>
    <i r="1">
      <x/>
    </i>
    <i r="1">
      <x v="1"/>
    </i>
    <i r="1">
      <x v="3"/>
    </i>
    <i r="1">
      <x v="4"/>
    </i>
    <i r="1">
      <x v="5"/>
    </i>
    <i r="1">
      <x v="7"/>
    </i>
    <i r="1">
      <x v="8"/>
    </i>
    <i r="1">
      <x v="9"/>
    </i>
    <i r="1">
      <x v="11"/>
    </i>
    <i r="1">
      <x v="12"/>
    </i>
    <i>
      <x v="3"/>
    </i>
    <i r="1">
      <x/>
    </i>
    <i r="1">
      <x v="1"/>
    </i>
    <i r="1">
      <x v="2"/>
    </i>
    <i r="1">
      <x v="3"/>
    </i>
    <i r="1">
      <x v="5"/>
    </i>
    <i r="1">
      <x v="8"/>
    </i>
    <i r="1">
      <x v="9"/>
    </i>
    <i r="1">
      <x v="10"/>
    </i>
    <i r="1">
      <x v="11"/>
    </i>
    <i r="1">
      <x v="12"/>
    </i>
    <i>
      <x v="5"/>
    </i>
    <i r="1">
      <x/>
    </i>
    <i r="1">
      <x v="3"/>
    </i>
    <i r="1">
      <x v="5"/>
    </i>
    <i r="1">
      <x v="6"/>
    </i>
    <i r="1">
      <x v="8"/>
    </i>
    <i r="1">
      <x v="9"/>
    </i>
    <i r="1">
      <x v="11"/>
    </i>
    <i r="1">
      <x v="12"/>
    </i>
    <i t="grand">
      <x/>
    </i>
  </rowItems>
  <colItems count="1">
    <i/>
  </colItems>
  <dataFields count="1">
    <dataField name="No. of Employees" fld="1" subtotal="count" baseField="4" baseItem="0"/>
  </dataFields>
  <formats count="4">
    <format dxfId="29">
      <pivotArea type="all" dataOnly="0" outline="0" fieldPosition="0"/>
    </format>
    <format dxfId="28">
      <pivotArea outline="0" collapsedLevelsAreSubtotals="1" fieldPosition="0"/>
    </format>
    <format dxfId="27">
      <pivotArea dataOnly="0" labelOnly="1" grandRow="1" outline="0" fieldPosition="0"/>
    </format>
    <format dxfId="26">
      <pivotArea dataOnly="0" labelOnly="1" outline="0" axis="axisValues" fieldPosition="0"/>
    </format>
  </formats>
  <chartFormats count="2">
    <chartFormat chart="2"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489241-1491-4AB5-873E-3E42F4363B7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ite">
  <location ref="L2:M6" firstHeaderRow="1" firstDataRow="1" firstDataCol="1"/>
  <pivotFields count="16">
    <pivotField showAll="0"/>
    <pivotField dataField="1" numFmtId="1" showAll="0"/>
    <pivotField showAll="0"/>
    <pivotField showAll="0"/>
    <pivotField axis="axisRow" showAll="0">
      <items count="7">
        <item x="1"/>
        <item m="1" x="5"/>
        <item m="1" x="4"/>
        <item x="0"/>
        <item m="1" x="3"/>
        <item x="2"/>
        <item t="default"/>
      </items>
    </pivotField>
    <pivotField numFmtId="14" showAll="0"/>
    <pivotField numFmtId="14" showAll="0"/>
    <pivotField showAll="0"/>
    <pivotField showAll="0"/>
    <pivotField numFmtId="9" showAll="0"/>
    <pivotField numFmtId="9" showAll="0"/>
    <pivotField showAll="0">
      <items count="6">
        <item x="4"/>
        <item x="3"/>
        <item x="2"/>
        <item x="1"/>
        <item x="0"/>
        <item t="default"/>
      </items>
    </pivotField>
    <pivotField showAll="0"/>
    <pivotField showAll="0"/>
    <pivotField numFmtId="164" showAll="0"/>
    <pivotField numFmtId="165" showAll="0"/>
  </pivotFields>
  <rowFields count="1">
    <field x="4"/>
  </rowFields>
  <rowItems count="4">
    <i>
      <x/>
    </i>
    <i>
      <x v="3"/>
    </i>
    <i>
      <x v="5"/>
    </i>
    <i t="grand">
      <x/>
    </i>
  </rowItems>
  <colItems count="1">
    <i/>
  </colItems>
  <dataFields count="1">
    <dataField name="No of Employees" fld="1" subtotal="count" baseField="4" baseItem="0"/>
  </dataFields>
  <formats count="4">
    <format dxfId="33">
      <pivotArea type="all" dataOnly="0" outline="0" fieldPosition="0"/>
    </format>
    <format dxfId="32">
      <pivotArea outline="0" collapsedLevelsAreSubtotals="1" fieldPosition="0"/>
    </format>
    <format dxfId="31">
      <pivotArea dataOnly="0" labelOnly="1" grandRow="1" outline="0" fieldPosition="0"/>
    </format>
    <format dxfId="30">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575CBF88-F0F1-4E09-ABB3-1AA650EF1595}"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Dep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AE07B2DE-AF29-4372-A46E-E7A56524924D}"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Dep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995FB77C-CC1D-4062-9F35-66C33B50EFDC}"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Dept"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71F1058A-FC2A-4CB9-B52A-089A7633AE53}"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Dept"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79FFBB4-829B-462F-B05A-5D029B42E783}" autoFormatId="16" applyNumberFormats="0" applyBorderFormats="0" applyFontFormats="0" applyPatternFormats="0" applyAlignmentFormats="0" applyWidthHeightFormats="0">
  <queryTableRefresh nextId="19" unboundColumnsRight="4">
    <queryTableFields count="16">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7" name="تاريخ الميلاد" tableColumnId="7"/>
      <queryTableField id="8" name="المؤهل الدراسي" tableColumnId="8"/>
      <queryTableField id="9" name="الراتب" tableColumnId="9"/>
      <queryTableField id="10" name="PER 2019" tableColumnId="10"/>
      <queryTableField id="11" name="PER 2020" tableColumnId="11"/>
      <queryTableField id="12" name="Dept" tableColumnId="12"/>
      <queryTableField id="18" dataBound="0" tableColumnId="19"/>
      <queryTableField id="15" dataBound="0" tableColumnId="15"/>
      <queryTableField id="17" dataBound="0" tableColumnId="18"/>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DFD3392D-E6EF-474B-B3D6-8B36A08601B4}" sourceName="Dept">
  <pivotTables>
    <pivotTable tabId="8" name="PivotTable4"/>
    <pivotTable tabId="8" name="PivotTable1"/>
    <pivotTable tabId="8" name="PivotTable2"/>
    <pivotTable tabId="8" name="PivotTable3"/>
    <pivotTable tabId="8" name="PivotTable5"/>
    <pivotTable tabId="8" name="PivotTable6"/>
    <pivotTable tabId="8" name="PivotTable7"/>
    <pivotTable tabId="8" name="PivotTable8"/>
  </pivotTables>
  <data>
    <tabular pivotCacheId="1584399148">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B2880931-375F-4080-9F16-1468C59F6952}" sourceName="الموقع">
  <pivotTables>
    <pivotTable tabId="8" name="PivotTable4"/>
    <pivotTable tabId="8" name="PivotTable1"/>
    <pivotTable tabId="8" name="PivotTable2"/>
    <pivotTable tabId="8" name="PivotTable3"/>
    <pivotTable tabId="8" name="PivotTable5"/>
    <pivotTable tabId="8" name="PivotTable6"/>
    <pivotTable tabId="8" name="PivotTable7"/>
    <pivotTable tabId="8" name="PivotTable8"/>
    <pivotTable tabId="8" name="PivotTable9"/>
  </pivotTables>
  <data>
    <tabular pivotCacheId="1584399148">
      <items count="6">
        <i x="1" s="1"/>
        <i x="0" s="1"/>
        <i x="2" s="1"/>
        <i x="5"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1F226DB6-7E88-41EB-9995-1F9B530087F9}" cache="Slicer_Dept" caption="Dept" columnCount="3" rowHeight="247650"/>
  <slicer name="الموقع" xr10:uid="{73AAA890-C94D-4CB6-A68A-17A986E547AF}" cache="Slicer_الموقع" caption="الموقع" columnCoun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D6DF08-D41C-43A9-A03A-D110798385D1}" name="Finance5" displayName="Finance5" ref="A1:L11" tableType="queryTable" totalsRowShown="0">
  <autoFilter ref="A1:L11" xr:uid="{DED6DF08-D41C-43A9-A03A-D110798385D1}"/>
  <tableColumns count="12">
    <tableColumn id="1" xr3:uid="{9A891849-BFDB-4D75-B947-A9887E77A65F}" uniqueName="1" name="المسلسل" queryTableFieldId="1"/>
    <tableColumn id="2" xr3:uid="{B987B6D4-4312-4CD3-94AF-3CC1AA6404B1}" uniqueName="2" name="الرقم الوظيفي" queryTableFieldId="2"/>
    <tableColumn id="3" xr3:uid="{97BBF445-D856-4AA9-9ABB-0D32A4552472}" uniqueName="3" name="اسم الموظف" queryTableFieldId="3" dataDxfId="76"/>
    <tableColumn id="4" xr3:uid="{71D52313-D129-4CD9-A77E-81C8DC368C2B}" uniqueName="4" name="الوظيفة" queryTableFieldId="4" dataDxfId="75"/>
    <tableColumn id="5" xr3:uid="{8215A7C4-92E6-4726-AFFE-EE9E7E75D07B}" uniqueName="5" name="الموقع" queryTableFieldId="5" dataDxfId="74"/>
    <tableColumn id="6" xr3:uid="{BFF7A0D2-FC9F-471C-9066-D731443E22C0}" uniqueName="6" name="تاريخ التعيين" queryTableFieldId="6" dataDxfId="73"/>
    <tableColumn id="7" xr3:uid="{B316EDF1-3B6A-4FC8-9703-8807FA0A4326}" uniqueName="7" name="تاريخ الميلاد" queryTableFieldId="7" dataDxfId="72"/>
    <tableColumn id="8" xr3:uid="{7A0F6C02-10CB-4966-99E8-674E9E37EAF0}" uniqueName="8" name="المؤهل الدراسي" queryTableFieldId="8" dataDxfId="71"/>
    <tableColumn id="9" xr3:uid="{6492FC0B-5437-4C0D-B12F-043857A73D24}" uniqueName="9" name="الراتب" queryTableFieldId="9"/>
    <tableColumn id="10" xr3:uid="{CD964D5B-9DEC-4234-9AD2-1ECE04C1A475}" uniqueName="10" name="PER 2019" queryTableFieldId="10"/>
    <tableColumn id="11" xr3:uid="{342B5735-0194-4A28-BD3C-CF2FE5EFA787}" uniqueName="11" name="PER 2020" queryTableFieldId="11"/>
    <tableColumn id="12" xr3:uid="{322E77D7-1C3F-402C-9AB5-25839AA55D22}" uniqueName="12" name="Dept" queryTableFieldId="12"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A78BB7-F337-4C0B-A5AB-9FD2EFFF0E93}" name="HR4_" displayName="HR4_" ref="A1:L24" tableType="queryTable" totalsRowShown="0">
  <autoFilter ref="A1:L24" xr:uid="{5FA78BB7-F337-4C0B-A5AB-9FD2EFFF0E93}"/>
  <tableColumns count="12">
    <tableColumn id="1" xr3:uid="{31210FC5-13E8-46A3-894F-9291D0883AA5}" uniqueName="1" name="المسلسل" queryTableFieldId="1"/>
    <tableColumn id="2" xr3:uid="{C9180EE6-75F6-4A02-9AA9-2F86B63F867A}" uniqueName="2" name="الرقم الوظيفي" queryTableFieldId="2"/>
    <tableColumn id="3" xr3:uid="{9C3248BC-DCC1-4D1C-9273-85C87DF4BC35}" uniqueName="3" name="اسم الموظف" queryTableFieldId="3" dataDxfId="69"/>
    <tableColumn id="4" xr3:uid="{CD6DD74F-C64D-413A-B6C3-510B73D9B8EA}" uniqueName="4" name="الوظيفة" queryTableFieldId="4" dataDxfId="68"/>
    <tableColumn id="5" xr3:uid="{A32EE86E-B1CE-4232-8F7E-509003259A36}" uniqueName="5" name="الموقع" queryTableFieldId="5" dataDxfId="67"/>
    <tableColumn id="6" xr3:uid="{A606CD83-637D-456F-ACF2-B0F54A80B13B}" uniqueName="6" name="تاريخ التعيين" queryTableFieldId="6" dataDxfId="66"/>
    <tableColumn id="7" xr3:uid="{CA833541-2C64-4A7C-A165-9B3787651E30}" uniqueName="7" name="تاريخ الميلاد" queryTableFieldId="7" dataDxfId="65"/>
    <tableColumn id="8" xr3:uid="{6D675758-0896-42C7-8315-6D5CB9161D0C}" uniqueName="8" name="المؤهل الدراسي" queryTableFieldId="8" dataDxfId="64"/>
    <tableColumn id="9" xr3:uid="{5E9D724B-A7D8-47EF-9A33-2CB710224B9B}" uniqueName="9" name="الراتب" queryTableFieldId="9"/>
    <tableColumn id="10" xr3:uid="{67173F75-5EDA-4256-925C-3448ACD5BBD8}" uniqueName="10" name="PER 2019" queryTableFieldId="10"/>
    <tableColumn id="11" xr3:uid="{658BC04B-3554-4B1E-8408-90515680EB14}" uniqueName="11" name="PER 2020" queryTableFieldId="11"/>
    <tableColumn id="12" xr3:uid="{E0AB91A6-5C9D-475B-A270-AA49C01F36F2}" uniqueName="12" name="Dept" queryTableFieldId="12" dataDxfId="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6C61FB-F6C4-4F33-9435-0335E41CD4FB}" name="IT3_" displayName="IT3_" ref="A1:L13" tableType="queryTable" totalsRowShown="0">
  <autoFilter ref="A1:L13" xr:uid="{B76C61FB-F6C4-4F33-9435-0335E41CD4FB}"/>
  <tableColumns count="12">
    <tableColumn id="1" xr3:uid="{B2D7025C-F2A8-405F-983D-6CE6C902C783}" uniqueName="1" name="المسلسل" queryTableFieldId="1"/>
    <tableColumn id="2" xr3:uid="{6AB8DCB3-E610-486A-B7D7-685DE38A960A}" uniqueName="2" name="الرقم الوظيفي" queryTableFieldId="2"/>
    <tableColumn id="3" xr3:uid="{5073824E-1B39-4F28-B094-4E9CB170C61A}" uniqueName="3" name="اسم الموظف" queryTableFieldId="3" dataDxfId="62"/>
    <tableColumn id="4" xr3:uid="{C71690FE-BEFC-426F-ABA7-2E624C0D00B4}" uniqueName="4" name="الوظيفة" queryTableFieldId="4" dataDxfId="61"/>
    <tableColumn id="5" xr3:uid="{D1E9C252-303E-40B6-A954-4EA44603E844}" uniqueName="5" name="الموقع" queryTableFieldId="5" dataDxfId="60"/>
    <tableColumn id="6" xr3:uid="{A629F71B-45D3-4683-890B-0BD8C8B6BC8D}" uniqueName="6" name="تاريخ التعيين" queryTableFieldId="6" dataDxfId="59"/>
    <tableColumn id="7" xr3:uid="{83ABC56C-60F9-460B-BDCC-42AE2478EFE2}" uniqueName="7" name="تاريخ الميلاد" queryTableFieldId="7" dataDxfId="58"/>
    <tableColumn id="8" xr3:uid="{CE04934F-26A9-4E64-A7D2-5CE9E2C2B645}" uniqueName="8" name="المؤهل الدراسي" queryTableFieldId="8" dataDxfId="57"/>
    <tableColumn id="9" xr3:uid="{6BA6BCEC-A5E8-4D8D-9054-9BBC457E8CF0}" uniqueName="9" name="الراتب" queryTableFieldId="9"/>
    <tableColumn id="10" xr3:uid="{3D9F29CC-7554-4B57-9838-872F40F6FE92}" uniqueName="10" name="PER 2019" queryTableFieldId="10"/>
    <tableColumn id="11" xr3:uid="{E5881F41-BBDE-4FB9-B167-3F9C5FF2FDC1}" uniqueName="11" name="PER 2020" queryTableFieldId="11"/>
    <tableColumn id="12" xr3:uid="{D77EC6CA-E7D7-4294-9D04-4CBA04FE696A}" uniqueName="12" name="Dept" queryTableFieldId="12" dataDxfId="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F100CC-1144-4C4E-94E6-6926714A29B1}" name="Marketing2" displayName="Marketing2" ref="A1:L19" tableType="queryTable" totalsRowShown="0">
  <autoFilter ref="A1:L19" xr:uid="{8CF100CC-1144-4C4E-94E6-6926714A29B1}"/>
  <tableColumns count="12">
    <tableColumn id="1" xr3:uid="{86AD7C46-0D4C-46DD-A46F-65119632AFB3}" uniqueName="1" name="المسلسل" queryTableFieldId="1"/>
    <tableColumn id="2" xr3:uid="{4E2235A8-5FEB-473D-8E09-918E05E64CE0}" uniqueName="2" name="الرقم الوظيفي" queryTableFieldId="2"/>
    <tableColumn id="3" xr3:uid="{34BDE61D-77C5-4BE1-A45C-E9167C30EF34}" uniqueName="3" name="اسم الموظف" queryTableFieldId="3" dataDxfId="55"/>
    <tableColumn id="4" xr3:uid="{F8804D24-0B7F-4D85-A438-47E820B980BA}" uniqueName="4" name="الوظيفة" queryTableFieldId="4" dataDxfId="54"/>
    <tableColumn id="5" xr3:uid="{7BBA3D95-4DD2-4985-9D02-C9DDC76801F2}" uniqueName="5" name="الموقع" queryTableFieldId="5" dataDxfId="53"/>
    <tableColumn id="6" xr3:uid="{06441AC9-CF27-4A9E-BE9A-14F66FAB23C8}" uniqueName="6" name="تاريخ التعيين" queryTableFieldId="6" dataDxfId="52"/>
    <tableColumn id="7" xr3:uid="{B765EC40-C163-48CA-80E6-CC7FF5B9BD32}" uniqueName="7" name="تاريخ الميلاد" queryTableFieldId="7" dataDxfId="51"/>
    <tableColumn id="8" xr3:uid="{2972E417-C224-4979-82ED-A54473A67C69}" uniqueName="8" name="المؤهل الدراسي" queryTableFieldId="8" dataDxfId="50"/>
    <tableColumn id="9" xr3:uid="{C2F7DCA9-BA2F-487C-A566-5D60D2D5413A}" uniqueName="9" name="الراتب" queryTableFieldId="9"/>
    <tableColumn id="10" xr3:uid="{B1EF2221-679B-4EA8-AB9E-1E063FBFA9B5}" uniqueName="10" name="PER 2019" queryTableFieldId="10"/>
    <tableColumn id="11" xr3:uid="{03D65775-BB9A-4C27-8CC9-2491046F7A6D}" uniqueName="11" name="PER 2020" queryTableFieldId="11"/>
    <tableColumn id="12" xr3:uid="{148E2229-3D8D-4188-9D7E-3A1C8E7F94B8}" uniqueName="12" name="Dept" queryTableFieldId="12" dataDxfId="4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982414-FFCF-4223-A222-7EE256B7ACA7}" name="All_Dept" displayName="All_Dept" ref="A1:P95" tableType="queryTable" totalsRowShown="0" headerRowDxfId="48">
  <autoFilter ref="A1:P95" xr:uid="{A5982414-FFCF-4223-A222-7EE256B7ACA7}"/>
  <tableColumns count="16">
    <tableColumn id="1" xr3:uid="{7843B643-F9DC-425E-B296-7AA3FA38AEBA}" uniqueName="1" name="المسلسل" queryTableFieldId="1"/>
    <tableColumn id="2" xr3:uid="{957B45B4-80B9-4766-883E-E3A6230B5CF4}" uniqueName="2" name="الرقم الوظيفي" queryTableFieldId="2" dataDxfId="47"/>
    <tableColumn id="3" xr3:uid="{262BB042-EFA6-47BC-9EEF-287D6850205E}" uniqueName="3" name="اسم الموظف" queryTableFieldId="3" dataDxfId="46"/>
    <tableColumn id="4" xr3:uid="{44005035-01F1-44F0-BB27-DB4C8FA03A7F}" uniqueName="4" name="الوظيفة" queryTableFieldId="4" dataDxfId="45"/>
    <tableColumn id="5" xr3:uid="{965B20B0-AF87-41F6-B6DB-51F50DA9886C}" uniqueName="5" name="الموقع" queryTableFieldId="5" dataDxfId="44"/>
    <tableColumn id="6" xr3:uid="{E5D71735-8A39-4DBA-BAAD-95F542F6116A}" uniqueName="6" name="تاريخ التعيين" queryTableFieldId="6" dataDxfId="43"/>
    <tableColumn id="7" xr3:uid="{8F2DB465-E021-4DAD-B8D7-61D4D8A0E613}" uniqueName="7" name="تاريخ الميلاد" queryTableFieldId="7" dataDxfId="42"/>
    <tableColumn id="8" xr3:uid="{9604BCF4-DA8F-40A9-9C04-1875106E00E0}" uniqueName="8" name="المؤهل الدراسي" queryTableFieldId="8" dataDxfId="41"/>
    <tableColumn id="9" xr3:uid="{745A2F41-D1FC-41F0-8243-96E00CB59614}" uniqueName="9" name="الراتب" queryTableFieldId="9"/>
    <tableColumn id="10" xr3:uid="{6AD095C1-BD63-4EC0-9854-69111542BE38}" uniqueName="10" name="PER 2019" queryTableFieldId="10" dataDxfId="40"/>
    <tableColumn id="11" xr3:uid="{5E0094D5-844D-4891-B577-EC835099207B}" uniqueName="11" name="PER 2020" queryTableFieldId="11" dataDxfId="39"/>
    <tableColumn id="12" xr3:uid="{7CA49073-6B78-488D-AF98-02A4A8CE4DFD}" uniqueName="12" name="Dept" queryTableFieldId="12" dataDxfId="38"/>
    <tableColumn id="19" xr3:uid="{13C0832E-1F72-4B85-9713-6AFD89A7318F}" uniqueName="19" name="Years of Experience " queryTableFieldId="18" dataDxfId="37">
      <calculatedColumnFormula>DATEDIF(F2, TODAY(), "Y")</calculatedColumnFormula>
    </tableColumn>
    <tableColumn id="15" xr3:uid="{FCAD7945-2934-45E4-B8AA-7B924E2CCB0D}" uniqueName="15" name="Age" queryTableFieldId="15" dataDxfId="36">
      <calculatedColumnFormula>DATEDIF(G2, TODAY(), "Y")</calculatedColumnFormula>
    </tableColumn>
    <tableColumn id="18" xr3:uid="{D502E5A4-D0C9-48CA-B27A-B3C5C41686AC}" uniqueName="18" name="total Avg Performance" queryTableFieldId="17" dataDxfId="35">
      <calculatedColumnFormula>AVERAGE(All_Dept[[#This Row],[PER 2019]],All_Dept[[#This Row],[PER 2020]])</calculatedColumnFormula>
    </tableColumn>
    <tableColumn id="16" xr3:uid="{A013A65E-08A7-4009-BC06-B2F9D324213D}" uniqueName="16" name="Delta" queryTableFieldId="16" dataDxfId="34">
      <calculatedColumnFormula>All_Dept[[#This Row],[PER 2020]]-All_Dept[[#This Row],[PER 2019]]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8053-86DE-453A-B0A8-4DFE2D3D5A9A}">
  <dimension ref="A1:L11"/>
  <sheetViews>
    <sheetView workbookViewId="0"/>
  </sheetViews>
  <sheetFormatPr defaultRowHeight="14.4" x14ac:dyDescent="0.3"/>
  <cols>
    <col min="1" max="1" width="6.44140625" bestFit="1" customWidth="1"/>
    <col min="2" max="2" width="9.6640625" bestFit="1" customWidth="1"/>
    <col min="3" max="3" width="9" bestFit="1" customWidth="1"/>
    <col min="4" max="4" width="15.77734375" bestFit="1" customWidth="1"/>
    <col min="5" max="5" width="7.77734375" bestFit="1" customWidth="1"/>
    <col min="6" max="7" width="10.33203125" bestFit="1" customWidth="1"/>
    <col min="8" max="8" width="11.109375" bestFit="1" customWidth="1"/>
    <col min="9" max="9" width="6" bestFit="1" customWidth="1"/>
    <col min="10" max="11" width="10.77734375" bestFit="1" customWidth="1"/>
    <col min="12" max="12" width="7.441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4</v>
      </c>
      <c r="B2">
        <v>29769</v>
      </c>
      <c r="C2" t="s">
        <v>35</v>
      </c>
      <c r="D2" t="s">
        <v>70</v>
      </c>
      <c r="E2" t="s">
        <v>48</v>
      </c>
      <c r="F2" s="1">
        <v>41499</v>
      </c>
      <c r="G2" s="1">
        <v>26494</v>
      </c>
      <c r="H2" t="s">
        <v>44</v>
      </c>
      <c r="I2">
        <v>26520</v>
      </c>
      <c r="J2">
        <v>0.81</v>
      </c>
      <c r="K2">
        <v>0.66</v>
      </c>
      <c r="L2" t="s">
        <v>71</v>
      </c>
    </row>
    <row r="3" spans="1:12" x14ac:dyDescent="0.3">
      <c r="A3">
        <v>12</v>
      </c>
      <c r="B3">
        <v>26401</v>
      </c>
      <c r="C3" t="s">
        <v>41</v>
      </c>
      <c r="D3" t="s">
        <v>72</v>
      </c>
      <c r="E3" t="s">
        <v>48</v>
      </c>
      <c r="F3" s="1">
        <v>42477</v>
      </c>
      <c r="G3" s="1">
        <v>25717</v>
      </c>
      <c r="H3" t="s">
        <v>14</v>
      </c>
      <c r="I3">
        <v>16455</v>
      </c>
      <c r="J3">
        <v>0.75</v>
      </c>
      <c r="K3">
        <v>0.92</v>
      </c>
      <c r="L3" t="s">
        <v>71</v>
      </c>
    </row>
    <row r="4" spans="1:12" x14ac:dyDescent="0.3">
      <c r="A4">
        <v>13</v>
      </c>
      <c r="B4">
        <v>26435</v>
      </c>
      <c r="C4" t="s">
        <v>67</v>
      </c>
      <c r="D4" t="s">
        <v>72</v>
      </c>
      <c r="E4" t="s">
        <v>24</v>
      </c>
      <c r="F4" s="1">
        <v>37131</v>
      </c>
      <c r="G4" s="1">
        <v>22910</v>
      </c>
      <c r="H4" t="s">
        <v>14</v>
      </c>
      <c r="I4">
        <v>4981</v>
      </c>
      <c r="J4">
        <v>0.77</v>
      </c>
      <c r="K4">
        <v>0.86</v>
      </c>
      <c r="L4" t="s">
        <v>71</v>
      </c>
    </row>
    <row r="5" spans="1:12" x14ac:dyDescent="0.3">
      <c r="A5">
        <v>33</v>
      </c>
      <c r="B5">
        <v>26410</v>
      </c>
      <c r="C5" t="s">
        <v>68</v>
      </c>
      <c r="D5" t="s">
        <v>72</v>
      </c>
      <c r="E5" t="s">
        <v>24</v>
      </c>
      <c r="F5" s="1">
        <v>42417</v>
      </c>
      <c r="G5" s="1">
        <v>27626</v>
      </c>
      <c r="H5" t="s">
        <v>14</v>
      </c>
      <c r="I5">
        <v>3165</v>
      </c>
      <c r="J5">
        <v>0.84</v>
      </c>
      <c r="K5">
        <v>0.78</v>
      </c>
      <c r="L5" t="s">
        <v>71</v>
      </c>
    </row>
    <row r="6" spans="1:12" x14ac:dyDescent="0.3">
      <c r="A6">
        <v>34</v>
      </c>
      <c r="B6">
        <v>27385</v>
      </c>
      <c r="C6" t="s">
        <v>69</v>
      </c>
      <c r="D6" t="s">
        <v>72</v>
      </c>
      <c r="E6" t="s">
        <v>85</v>
      </c>
      <c r="F6" s="1">
        <v>42462</v>
      </c>
      <c r="G6" s="1">
        <v>24785</v>
      </c>
      <c r="H6" t="s">
        <v>14</v>
      </c>
      <c r="I6">
        <v>20883</v>
      </c>
      <c r="J6">
        <v>0.85</v>
      </c>
      <c r="K6">
        <v>0.76</v>
      </c>
      <c r="L6" t="s">
        <v>71</v>
      </c>
    </row>
    <row r="7" spans="1:12" x14ac:dyDescent="0.3">
      <c r="A7">
        <v>61</v>
      </c>
      <c r="B7">
        <v>26389</v>
      </c>
      <c r="C7" t="s">
        <v>65</v>
      </c>
      <c r="D7" t="s">
        <v>72</v>
      </c>
      <c r="E7" t="s">
        <v>48</v>
      </c>
      <c r="F7" s="1">
        <v>43071</v>
      </c>
      <c r="G7" s="1">
        <v>21695</v>
      </c>
      <c r="H7" t="s">
        <v>14</v>
      </c>
      <c r="I7">
        <v>13380</v>
      </c>
      <c r="J7">
        <v>0.8</v>
      </c>
      <c r="K7">
        <v>0.72</v>
      </c>
      <c r="L7" t="s">
        <v>71</v>
      </c>
    </row>
    <row r="8" spans="1:12" x14ac:dyDescent="0.3">
      <c r="A8">
        <v>62</v>
      </c>
      <c r="B8">
        <v>30459</v>
      </c>
      <c r="C8" t="s">
        <v>66</v>
      </c>
      <c r="D8" t="s">
        <v>72</v>
      </c>
      <c r="E8" t="s">
        <v>24</v>
      </c>
      <c r="F8" s="1">
        <v>43444</v>
      </c>
      <c r="G8" s="1">
        <v>25438</v>
      </c>
      <c r="H8" t="s">
        <v>14</v>
      </c>
      <c r="I8">
        <v>18856</v>
      </c>
      <c r="J8">
        <v>0.81</v>
      </c>
      <c r="K8">
        <v>0.48</v>
      </c>
      <c r="L8" t="s">
        <v>71</v>
      </c>
    </row>
    <row r="9" spans="1:12" x14ac:dyDescent="0.3">
      <c r="A9">
        <v>74</v>
      </c>
      <c r="B9">
        <v>27780</v>
      </c>
      <c r="C9" t="s">
        <v>34</v>
      </c>
      <c r="D9" t="s">
        <v>72</v>
      </c>
      <c r="E9" t="s">
        <v>24</v>
      </c>
      <c r="F9" s="1">
        <v>42403</v>
      </c>
      <c r="G9" s="1">
        <v>30445</v>
      </c>
      <c r="H9" t="s">
        <v>14</v>
      </c>
      <c r="I9">
        <v>13891</v>
      </c>
      <c r="J9">
        <v>0.86</v>
      </c>
      <c r="K9">
        <v>0.97</v>
      </c>
      <c r="L9" t="s">
        <v>71</v>
      </c>
    </row>
    <row r="10" spans="1:12" x14ac:dyDescent="0.3">
      <c r="A10">
        <v>75</v>
      </c>
      <c r="B10">
        <v>25907</v>
      </c>
      <c r="C10" t="s">
        <v>35</v>
      </c>
      <c r="D10" t="s">
        <v>72</v>
      </c>
      <c r="E10" t="s">
        <v>85</v>
      </c>
      <c r="F10" s="1">
        <v>42417</v>
      </c>
      <c r="G10" s="1">
        <v>28157</v>
      </c>
      <c r="H10" t="s">
        <v>14</v>
      </c>
      <c r="I10">
        <v>19451</v>
      </c>
      <c r="J10">
        <v>0.77</v>
      </c>
      <c r="K10">
        <v>0.63</v>
      </c>
      <c r="L10" t="s">
        <v>71</v>
      </c>
    </row>
    <row r="11" spans="1:12" x14ac:dyDescent="0.3">
      <c r="A11">
        <v>86</v>
      </c>
      <c r="B11">
        <v>27144</v>
      </c>
      <c r="C11" t="s">
        <v>20</v>
      </c>
      <c r="D11" t="s">
        <v>72</v>
      </c>
      <c r="E11" t="s">
        <v>48</v>
      </c>
      <c r="F11" s="1">
        <v>39102</v>
      </c>
      <c r="G11" s="1">
        <v>24807</v>
      </c>
      <c r="H11" t="s">
        <v>14</v>
      </c>
      <c r="I11">
        <v>2185</v>
      </c>
      <c r="J11">
        <v>0.79</v>
      </c>
      <c r="K11">
        <v>0.65</v>
      </c>
      <c r="L11"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9955-BE23-4F0B-AE04-9764582BA661}">
  <dimension ref="A1:L24"/>
  <sheetViews>
    <sheetView workbookViewId="0"/>
  </sheetViews>
  <sheetFormatPr defaultRowHeight="14.4" x14ac:dyDescent="0.3"/>
  <cols>
    <col min="1" max="1" width="6.44140625" bestFit="1" customWidth="1"/>
    <col min="2" max="2" width="9.6640625" bestFit="1" customWidth="1"/>
    <col min="3" max="3" width="12.33203125" bestFit="1" customWidth="1"/>
    <col min="4" max="4" width="19.21875" bestFit="1" customWidth="1"/>
    <col min="5" max="5" width="7.77734375" bestFit="1" customWidth="1"/>
    <col min="6" max="7" width="10.33203125" bestFit="1" customWidth="1"/>
    <col min="8" max="8" width="11.109375" bestFit="1" customWidth="1"/>
    <col min="9" max="9" width="6" bestFit="1" customWidth="1"/>
    <col min="10" max="11" width="10.77734375" bestFit="1" customWidth="1"/>
    <col min="12" max="12" width="7.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26434</v>
      </c>
      <c r="C2" t="s">
        <v>33</v>
      </c>
      <c r="D2" t="s">
        <v>59</v>
      </c>
      <c r="E2" t="s">
        <v>85</v>
      </c>
      <c r="F2" s="1">
        <v>39036</v>
      </c>
      <c r="G2" s="1">
        <v>29537</v>
      </c>
      <c r="H2" t="s">
        <v>14</v>
      </c>
      <c r="I2">
        <v>20500</v>
      </c>
      <c r="J2">
        <v>0.82</v>
      </c>
      <c r="K2">
        <v>0.86</v>
      </c>
      <c r="L2" t="s">
        <v>60</v>
      </c>
    </row>
    <row r="3" spans="1:12" x14ac:dyDescent="0.3">
      <c r="A3">
        <v>6</v>
      </c>
      <c r="B3">
        <v>27154</v>
      </c>
      <c r="C3" t="s">
        <v>36</v>
      </c>
      <c r="D3" t="s">
        <v>61</v>
      </c>
      <c r="E3" t="s">
        <v>85</v>
      </c>
      <c r="F3" s="1">
        <v>37121</v>
      </c>
      <c r="G3" s="1">
        <v>24296</v>
      </c>
      <c r="H3" t="s">
        <v>14</v>
      </c>
      <c r="I3">
        <v>17233</v>
      </c>
      <c r="J3">
        <v>0.89</v>
      </c>
      <c r="K3">
        <v>0.41</v>
      </c>
      <c r="L3" t="s">
        <v>60</v>
      </c>
    </row>
    <row r="4" spans="1:12" x14ac:dyDescent="0.3">
      <c r="A4">
        <v>7</v>
      </c>
      <c r="B4">
        <v>27008</v>
      </c>
      <c r="C4" t="s">
        <v>62</v>
      </c>
      <c r="D4" t="s">
        <v>63</v>
      </c>
      <c r="E4" t="s">
        <v>24</v>
      </c>
      <c r="F4" s="1">
        <v>37758</v>
      </c>
      <c r="G4" s="1">
        <v>30195</v>
      </c>
      <c r="H4" t="s">
        <v>14</v>
      </c>
      <c r="I4">
        <v>19987</v>
      </c>
      <c r="J4">
        <v>0.76</v>
      </c>
      <c r="K4">
        <v>0.55000000000000004</v>
      </c>
      <c r="L4" t="s">
        <v>60</v>
      </c>
    </row>
    <row r="5" spans="1:12" x14ac:dyDescent="0.3">
      <c r="A5">
        <v>8</v>
      </c>
      <c r="B5">
        <v>27621</v>
      </c>
      <c r="C5" t="s">
        <v>39</v>
      </c>
      <c r="D5" t="s">
        <v>64</v>
      </c>
      <c r="E5" t="s">
        <v>48</v>
      </c>
      <c r="F5" s="1">
        <v>39600</v>
      </c>
      <c r="G5" s="1">
        <v>29625</v>
      </c>
      <c r="H5" t="s">
        <v>14</v>
      </c>
      <c r="I5">
        <v>23537</v>
      </c>
      <c r="J5">
        <v>0.87</v>
      </c>
      <c r="K5">
        <v>0.69</v>
      </c>
      <c r="L5" t="s">
        <v>60</v>
      </c>
    </row>
    <row r="6" spans="1:12" x14ac:dyDescent="0.3">
      <c r="A6">
        <v>26</v>
      </c>
      <c r="B6">
        <v>27374</v>
      </c>
      <c r="C6" t="s">
        <v>65</v>
      </c>
      <c r="D6" t="s">
        <v>63</v>
      </c>
      <c r="E6" t="s">
        <v>85</v>
      </c>
      <c r="F6" s="1">
        <v>42491</v>
      </c>
      <c r="G6" s="1">
        <v>27603</v>
      </c>
      <c r="H6" t="s">
        <v>14</v>
      </c>
      <c r="I6">
        <v>7935</v>
      </c>
      <c r="J6">
        <v>0.83</v>
      </c>
      <c r="K6">
        <v>0.41</v>
      </c>
      <c r="L6" t="s">
        <v>60</v>
      </c>
    </row>
    <row r="7" spans="1:12" x14ac:dyDescent="0.3">
      <c r="A7">
        <v>27</v>
      </c>
      <c r="B7">
        <v>29368</v>
      </c>
      <c r="C7" t="s">
        <v>66</v>
      </c>
      <c r="D7" t="s">
        <v>61</v>
      </c>
      <c r="E7" t="s">
        <v>24</v>
      </c>
      <c r="F7" s="1">
        <v>42515</v>
      </c>
      <c r="G7" s="1">
        <v>26982</v>
      </c>
      <c r="H7" t="s">
        <v>14</v>
      </c>
      <c r="I7">
        <v>20121</v>
      </c>
      <c r="J7">
        <v>0.8</v>
      </c>
      <c r="K7">
        <v>0.64</v>
      </c>
      <c r="L7" t="s">
        <v>60</v>
      </c>
    </row>
    <row r="8" spans="1:12" x14ac:dyDescent="0.3">
      <c r="A8">
        <v>28</v>
      </c>
      <c r="B8">
        <v>27092</v>
      </c>
      <c r="C8" t="s">
        <v>53</v>
      </c>
      <c r="D8" t="s">
        <v>63</v>
      </c>
      <c r="E8" t="s">
        <v>85</v>
      </c>
      <c r="F8" s="1">
        <v>42597</v>
      </c>
      <c r="G8" s="1">
        <v>29688</v>
      </c>
      <c r="H8" t="s">
        <v>14</v>
      </c>
      <c r="I8">
        <v>16408</v>
      </c>
      <c r="J8">
        <v>0.76</v>
      </c>
      <c r="K8">
        <v>0.91</v>
      </c>
      <c r="L8" t="s">
        <v>60</v>
      </c>
    </row>
    <row r="9" spans="1:12" x14ac:dyDescent="0.3">
      <c r="A9">
        <v>29</v>
      </c>
      <c r="B9">
        <v>26429</v>
      </c>
      <c r="C9" t="s">
        <v>54</v>
      </c>
      <c r="D9" t="s">
        <v>64</v>
      </c>
      <c r="E9" t="s">
        <v>24</v>
      </c>
      <c r="F9" s="1">
        <v>35029</v>
      </c>
      <c r="G9" s="1">
        <v>30178</v>
      </c>
      <c r="H9" t="s">
        <v>14</v>
      </c>
      <c r="I9">
        <v>2323</v>
      </c>
      <c r="J9">
        <v>0.83</v>
      </c>
      <c r="K9">
        <v>0.75</v>
      </c>
      <c r="L9" t="s">
        <v>60</v>
      </c>
    </row>
    <row r="10" spans="1:12" x14ac:dyDescent="0.3">
      <c r="A10">
        <v>46</v>
      </c>
      <c r="B10">
        <v>26994</v>
      </c>
      <c r="C10" t="s">
        <v>16</v>
      </c>
      <c r="D10" t="s">
        <v>63</v>
      </c>
      <c r="E10" t="s">
        <v>85</v>
      </c>
      <c r="F10" s="1">
        <v>35855</v>
      </c>
      <c r="G10" s="1">
        <v>24091</v>
      </c>
      <c r="H10" t="s">
        <v>14</v>
      </c>
      <c r="I10">
        <v>6553</v>
      </c>
      <c r="J10">
        <v>0.75</v>
      </c>
      <c r="K10">
        <v>0.75</v>
      </c>
      <c r="L10" t="s">
        <v>60</v>
      </c>
    </row>
    <row r="11" spans="1:12" x14ac:dyDescent="0.3">
      <c r="A11">
        <v>47</v>
      </c>
      <c r="B11">
        <v>27007</v>
      </c>
      <c r="C11" t="s">
        <v>19</v>
      </c>
      <c r="D11" t="s">
        <v>61</v>
      </c>
      <c r="E11" t="s">
        <v>85</v>
      </c>
      <c r="F11" s="1">
        <v>36544</v>
      </c>
      <c r="G11" s="1">
        <v>28423</v>
      </c>
      <c r="H11" t="s">
        <v>14</v>
      </c>
      <c r="I11">
        <v>13054</v>
      </c>
      <c r="J11">
        <v>0.82</v>
      </c>
      <c r="K11">
        <v>0.48</v>
      </c>
      <c r="L11" t="s">
        <v>60</v>
      </c>
    </row>
    <row r="12" spans="1:12" x14ac:dyDescent="0.3">
      <c r="A12">
        <v>48</v>
      </c>
      <c r="B12">
        <v>26424</v>
      </c>
      <c r="C12" t="s">
        <v>41</v>
      </c>
      <c r="D12" t="s">
        <v>63</v>
      </c>
      <c r="E12" t="s">
        <v>85</v>
      </c>
      <c r="F12" s="1">
        <v>37118</v>
      </c>
      <c r="G12" s="1">
        <v>27130</v>
      </c>
      <c r="H12" t="s">
        <v>14</v>
      </c>
      <c r="I12">
        <v>20909</v>
      </c>
      <c r="J12">
        <v>0.88</v>
      </c>
      <c r="K12">
        <v>0.46</v>
      </c>
      <c r="L12" t="s">
        <v>60</v>
      </c>
    </row>
    <row r="13" spans="1:12" x14ac:dyDescent="0.3">
      <c r="A13">
        <v>49</v>
      </c>
      <c r="B13">
        <v>26415</v>
      </c>
      <c r="C13" t="s">
        <v>67</v>
      </c>
      <c r="D13" t="s">
        <v>64</v>
      </c>
      <c r="E13" t="s">
        <v>24</v>
      </c>
      <c r="F13" s="1">
        <v>37460</v>
      </c>
      <c r="G13" s="1">
        <v>25427</v>
      </c>
      <c r="H13" t="s">
        <v>14</v>
      </c>
      <c r="I13">
        <v>23771</v>
      </c>
      <c r="J13">
        <v>0.88</v>
      </c>
      <c r="K13">
        <v>0.63</v>
      </c>
      <c r="L13" t="s">
        <v>60</v>
      </c>
    </row>
    <row r="14" spans="1:12" x14ac:dyDescent="0.3">
      <c r="A14">
        <v>54</v>
      </c>
      <c r="B14">
        <v>27143</v>
      </c>
      <c r="C14" t="s">
        <v>22</v>
      </c>
      <c r="D14" t="s">
        <v>63</v>
      </c>
      <c r="E14" t="s">
        <v>85</v>
      </c>
      <c r="F14" s="1">
        <v>41748</v>
      </c>
      <c r="G14" s="1">
        <v>25434</v>
      </c>
      <c r="H14" t="s">
        <v>14</v>
      </c>
      <c r="I14">
        <v>8529</v>
      </c>
      <c r="J14">
        <v>0.83</v>
      </c>
      <c r="K14">
        <v>0.77</v>
      </c>
      <c r="L14" t="s">
        <v>60</v>
      </c>
    </row>
    <row r="15" spans="1:12" x14ac:dyDescent="0.3">
      <c r="A15">
        <v>55</v>
      </c>
      <c r="B15">
        <v>27393</v>
      </c>
      <c r="C15" t="s">
        <v>23</v>
      </c>
      <c r="D15" t="s">
        <v>61</v>
      </c>
      <c r="E15" t="s">
        <v>48</v>
      </c>
      <c r="F15" s="1">
        <v>41977</v>
      </c>
      <c r="G15" s="1">
        <v>29527</v>
      </c>
      <c r="H15" t="s">
        <v>14</v>
      </c>
      <c r="I15">
        <v>3453</v>
      </c>
      <c r="J15">
        <v>0.87</v>
      </c>
      <c r="K15">
        <v>0.83</v>
      </c>
      <c r="L15" t="s">
        <v>60</v>
      </c>
    </row>
    <row r="16" spans="1:12" x14ac:dyDescent="0.3">
      <c r="A16">
        <v>56</v>
      </c>
      <c r="B16">
        <v>30351</v>
      </c>
      <c r="C16" t="s">
        <v>25</v>
      </c>
      <c r="D16" t="s">
        <v>63</v>
      </c>
      <c r="E16" t="s">
        <v>48</v>
      </c>
      <c r="F16" s="1">
        <v>42053</v>
      </c>
      <c r="G16" s="1">
        <v>27098</v>
      </c>
      <c r="H16" t="s">
        <v>14</v>
      </c>
      <c r="I16">
        <v>14170</v>
      </c>
      <c r="J16">
        <v>0.77</v>
      </c>
      <c r="K16">
        <v>0.89</v>
      </c>
      <c r="L16" t="s">
        <v>60</v>
      </c>
    </row>
    <row r="17" spans="1:12" x14ac:dyDescent="0.3">
      <c r="A17">
        <v>57</v>
      </c>
      <c r="B17">
        <v>26441</v>
      </c>
      <c r="C17" t="s">
        <v>26</v>
      </c>
      <c r="D17" t="s">
        <v>64</v>
      </c>
      <c r="E17" t="s">
        <v>24</v>
      </c>
      <c r="F17" s="1">
        <v>42597</v>
      </c>
      <c r="G17" s="1">
        <v>30987</v>
      </c>
      <c r="H17" t="s">
        <v>14</v>
      </c>
      <c r="I17">
        <v>3254</v>
      </c>
      <c r="J17">
        <v>0.81</v>
      </c>
      <c r="K17">
        <v>0.85</v>
      </c>
      <c r="L17" t="s">
        <v>60</v>
      </c>
    </row>
    <row r="18" spans="1:12" x14ac:dyDescent="0.3">
      <c r="A18">
        <v>67</v>
      </c>
      <c r="B18">
        <v>27009</v>
      </c>
      <c r="C18" t="s">
        <v>30</v>
      </c>
      <c r="D18" t="s">
        <v>63</v>
      </c>
      <c r="E18" t="s">
        <v>48</v>
      </c>
      <c r="F18" s="1">
        <v>38816</v>
      </c>
      <c r="G18" s="1">
        <v>24781</v>
      </c>
      <c r="H18" t="s">
        <v>14</v>
      </c>
      <c r="I18">
        <v>5735</v>
      </c>
      <c r="J18">
        <v>0.82</v>
      </c>
      <c r="K18">
        <v>0.69</v>
      </c>
      <c r="L18" t="s">
        <v>60</v>
      </c>
    </row>
    <row r="19" spans="1:12" x14ac:dyDescent="0.3">
      <c r="A19">
        <v>68</v>
      </c>
      <c r="B19">
        <v>26428</v>
      </c>
      <c r="C19" t="s">
        <v>68</v>
      </c>
      <c r="D19" t="s">
        <v>61</v>
      </c>
      <c r="E19" t="s">
        <v>48</v>
      </c>
      <c r="F19" s="1">
        <v>39298</v>
      </c>
      <c r="G19" s="1">
        <v>25572</v>
      </c>
      <c r="H19" t="s">
        <v>14</v>
      </c>
      <c r="I19">
        <v>2725</v>
      </c>
      <c r="J19">
        <v>0.8</v>
      </c>
      <c r="K19">
        <v>0.54</v>
      </c>
      <c r="L19" t="s">
        <v>60</v>
      </c>
    </row>
    <row r="20" spans="1:12" x14ac:dyDescent="0.3">
      <c r="A20">
        <v>69</v>
      </c>
      <c r="B20">
        <v>26417</v>
      </c>
      <c r="C20" t="s">
        <v>69</v>
      </c>
      <c r="D20" t="s">
        <v>63</v>
      </c>
      <c r="E20" t="s">
        <v>85</v>
      </c>
      <c r="F20" s="1">
        <v>39725</v>
      </c>
      <c r="G20" s="1">
        <v>25981</v>
      </c>
      <c r="H20" t="s">
        <v>14</v>
      </c>
      <c r="I20">
        <v>5909</v>
      </c>
      <c r="J20">
        <v>0.76</v>
      </c>
      <c r="K20">
        <v>0.43</v>
      </c>
      <c r="L20" t="s">
        <v>60</v>
      </c>
    </row>
    <row r="21" spans="1:12" x14ac:dyDescent="0.3">
      <c r="A21">
        <v>70</v>
      </c>
      <c r="B21">
        <v>27150</v>
      </c>
      <c r="C21" t="s">
        <v>52</v>
      </c>
      <c r="D21" t="s">
        <v>64</v>
      </c>
      <c r="E21" t="s">
        <v>85</v>
      </c>
      <c r="F21" s="1">
        <v>40180</v>
      </c>
      <c r="G21" s="1">
        <v>23726</v>
      </c>
      <c r="H21" t="s">
        <v>14</v>
      </c>
      <c r="I21">
        <v>11445</v>
      </c>
      <c r="J21">
        <v>0.8</v>
      </c>
      <c r="K21">
        <v>0.57999999999999996</v>
      </c>
      <c r="L21" t="s">
        <v>60</v>
      </c>
    </row>
    <row r="22" spans="1:12" x14ac:dyDescent="0.3">
      <c r="A22">
        <v>83</v>
      </c>
      <c r="B22">
        <v>26399</v>
      </c>
      <c r="C22" t="s">
        <v>67</v>
      </c>
      <c r="D22" t="s">
        <v>61</v>
      </c>
      <c r="E22" t="s">
        <v>85</v>
      </c>
      <c r="F22" s="1">
        <v>37282</v>
      </c>
      <c r="G22" s="1">
        <v>30042</v>
      </c>
      <c r="H22" t="s">
        <v>14</v>
      </c>
      <c r="I22">
        <v>6834</v>
      </c>
      <c r="J22">
        <v>0.83</v>
      </c>
      <c r="K22">
        <v>0.64</v>
      </c>
      <c r="L22" t="s">
        <v>60</v>
      </c>
    </row>
    <row r="23" spans="1:12" x14ac:dyDescent="0.3">
      <c r="A23">
        <v>84</v>
      </c>
      <c r="B23">
        <v>26442</v>
      </c>
      <c r="C23" t="s">
        <v>46</v>
      </c>
      <c r="D23" t="s">
        <v>63</v>
      </c>
      <c r="E23" t="s">
        <v>48</v>
      </c>
      <c r="F23" s="1">
        <v>37975</v>
      </c>
      <c r="G23" s="1">
        <v>24969</v>
      </c>
      <c r="H23" t="s">
        <v>14</v>
      </c>
      <c r="I23">
        <v>1860</v>
      </c>
      <c r="J23">
        <v>0.89</v>
      </c>
      <c r="K23">
        <v>0.94</v>
      </c>
      <c r="L23" t="s">
        <v>60</v>
      </c>
    </row>
    <row r="24" spans="1:12" x14ac:dyDescent="0.3">
      <c r="A24">
        <v>85</v>
      </c>
      <c r="B24">
        <v>25908</v>
      </c>
      <c r="C24" t="s">
        <v>37</v>
      </c>
      <c r="D24" t="s">
        <v>64</v>
      </c>
      <c r="E24" t="s">
        <v>48</v>
      </c>
      <c r="F24" s="1">
        <v>38403</v>
      </c>
      <c r="G24" s="1">
        <v>26618</v>
      </c>
      <c r="H24" t="s">
        <v>14</v>
      </c>
      <c r="I24">
        <v>8730</v>
      </c>
      <c r="J24">
        <v>0.88</v>
      </c>
      <c r="K24">
        <v>0.95</v>
      </c>
      <c r="L24"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8EA5-4125-49EF-8903-D58C229D6244}">
  <dimension ref="A1:L13"/>
  <sheetViews>
    <sheetView workbookViewId="0"/>
  </sheetViews>
  <sheetFormatPr defaultRowHeight="14.4" x14ac:dyDescent="0.3"/>
  <cols>
    <col min="1" max="1" width="6.44140625" bestFit="1" customWidth="1"/>
    <col min="2" max="2" width="9.6640625" bestFit="1" customWidth="1"/>
    <col min="3" max="3" width="9.109375" bestFit="1" customWidth="1"/>
    <col min="4" max="4" width="16.44140625" bestFit="1" customWidth="1"/>
    <col min="5" max="5" width="7.77734375" bestFit="1" customWidth="1"/>
    <col min="6" max="7" width="10.33203125" bestFit="1" customWidth="1"/>
    <col min="8" max="8" width="11.109375" bestFit="1" customWidth="1"/>
    <col min="9" max="9" width="6" bestFit="1" customWidth="1"/>
    <col min="10" max="11" width="10.77734375" bestFit="1" customWidth="1"/>
    <col min="12" max="12" width="7.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3</v>
      </c>
      <c r="B2">
        <v>26446</v>
      </c>
      <c r="C2" t="s">
        <v>34</v>
      </c>
      <c r="D2" t="s">
        <v>56</v>
      </c>
      <c r="E2" t="s">
        <v>24</v>
      </c>
      <c r="F2" s="1">
        <v>41498</v>
      </c>
      <c r="G2" s="1">
        <v>29990</v>
      </c>
      <c r="H2" t="s">
        <v>44</v>
      </c>
      <c r="I2">
        <v>25000</v>
      </c>
      <c r="J2">
        <v>0.8</v>
      </c>
      <c r="K2">
        <v>0.9</v>
      </c>
      <c r="L2" t="s">
        <v>57</v>
      </c>
    </row>
    <row r="3" spans="1:12" x14ac:dyDescent="0.3">
      <c r="A3">
        <v>9</v>
      </c>
      <c r="B3">
        <v>26412</v>
      </c>
      <c r="C3" t="s">
        <v>40</v>
      </c>
      <c r="D3" t="s">
        <v>58</v>
      </c>
      <c r="E3" t="s">
        <v>85</v>
      </c>
      <c r="F3" s="1">
        <v>39767</v>
      </c>
      <c r="G3" s="1">
        <v>30733</v>
      </c>
      <c r="H3" t="s">
        <v>14</v>
      </c>
      <c r="I3">
        <v>11492</v>
      </c>
      <c r="J3">
        <v>0.81</v>
      </c>
      <c r="K3">
        <v>0.77</v>
      </c>
      <c r="L3" t="s">
        <v>57</v>
      </c>
    </row>
    <row r="4" spans="1:12" x14ac:dyDescent="0.3">
      <c r="A4">
        <v>30</v>
      </c>
      <c r="B4">
        <v>25905</v>
      </c>
      <c r="C4" t="s">
        <v>55</v>
      </c>
      <c r="D4" t="s">
        <v>58</v>
      </c>
      <c r="E4" t="s">
        <v>48</v>
      </c>
      <c r="F4" s="1">
        <v>41749</v>
      </c>
      <c r="G4" s="1">
        <v>23688</v>
      </c>
      <c r="H4" t="s">
        <v>14</v>
      </c>
      <c r="I4">
        <v>5578</v>
      </c>
      <c r="J4">
        <v>0.76</v>
      </c>
      <c r="K4">
        <v>0.97</v>
      </c>
      <c r="L4" t="s">
        <v>57</v>
      </c>
    </row>
    <row r="5" spans="1:12" x14ac:dyDescent="0.3">
      <c r="A5">
        <v>50</v>
      </c>
      <c r="B5">
        <v>30350</v>
      </c>
      <c r="C5" t="s">
        <v>46</v>
      </c>
      <c r="D5" t="s">
        <v>58</v>
      </c>
      <c r="E5" t="s">
        <v>85</v>
      </c>
      <c r="F5" s="1">
        <v>37817</v>
      </c>
      <c r="G5" s="1">
        <v>25539</v>
      </c>
      <c r="H5" t="s">
        <v>14</v>
      </c>
      <c r="I5">
        <v>6348</v>
      </c>
      <c r="J5">
        <v>0.76</v>
      </c>
      <c r="K5">
        <v>0.69</v>
      </c>
      <c r="L5" t="s">
        <v>57</v>
      </c>
    </row>
    <row r="6" spans="1:12" x14ac:dyDescent="0.3">
      <c r="A6">
        <v>58</v>
      </c>
      <c r="B6">
        <v>30349</v>
      </c>
      <c r="C6" t="s">
        <v>27</v>
      </c>
      <c r="D6" t="s">
        <v>58</v>
      </c>
      <c r="E6" t="s">
        <v>24</v>
      </c>
      <c r="F6" s="1">
        <v>42598</v>
      </c>
      <c r="G6" s="1">
        <v>25876</v>
      </c>
      <c r="H6" t="s">
        <v>14</v>
      </c>
      <c r="I6">
        <v>1952</v>
      </c>
      <c r="J6">
        <v>0.83</v>
      </c>
      <c r="K6">
        <v>0.76</v>
      </c>
      <c r="L6" t="s">
        <v>57</v>
      </c>
    </row>
    <row r="7" spans="1:12" x14ac:dyDescent="0.3">
      <c r="A7">
        <v>71</v>
      </c>
      <c r="B7">
        <v>30460</v>
      </c>
      <c r="C7" t="s">
        <v>31</v>
      </c>
      <c r="D7" t="s">
        <v>58</v>
      </c>
      <c r="E7" t="s">
        <v>85</v>
      </c>
      <c r="F7" s="1">
        <v>40680</v>
      </c>
      <c r="G7" s="1">
        <v>28100</v>
      </c>
      <c r="H7" t="s">
        <v>14</v>
      </c>
      <c r="I7">
        <v>18214</v>
      </c>
      <c r="J7">
        <v>0.78</v>
      </c>
      <c r="K7">
        <v>0.64</v>
      </c>
      <c r="L7" t="s">
        <v>57</v>
      </c>
    </row>
    <row r="8" spans="1:12" x14ac:dyDescent="0.3">
      <c r="A8">
        <v>3</v>
      </c>
      <c r="B8">
        <v>26446</v>
      </c>
      <c r="C8" t="s">
        <v>34</v>
      </c>
      <c r="D8" t="s">
        <v>56</v>
      </c>
      <c r="E8" t="s">
        <v>24</v>
      </c>
      <c r="F8" s="1">
        <v>41498</v>
      </c>
      <c r="G8" s="1">
        <v>29990</v>
      </c>
      <c r="H8" t="s">
        <v>44</v>
      </c>
      <c r="I8">
        <v>25000</v>
      </c>
      <c r="J8">
        <v>0.8</v>
      </c>
      <c r="K8">
        <v>0.9</v>
      </c>
      <c r="L8" t="s">
        <v>57</v>
      </c>
    </row>
    <row r="9" spans="1:12" x14ac:dyDescent="0.3">
      <c r="A9">
        <v>9</v>
      </c>
      <c r="B9">
        <v>26412</v>
      </c>
      <c r="C9" t="s">
        <v>40</v>
      </c>
      <c r="D9" t="s">
        <v>58</v>
      </c>
      <c r="E9" t="s">
        <v>85</v>
      </c>
      <c r="F9" s="1">
        <v>39767</v>
      </c>
      <c r="G9" s="1">
        <v>30733</v>
      </c>
      <c r="H9" t="s">
        <v>14</v>
      </c>
      <c r="I9">
        <v>11492</v>
      </c>
      <c r="J9">
        <v>0.81</v>
      </c>
      <c r="K9">
        <v>0.77</v>
      </c>
      <c r="L9" t="s">
        <v>57</v>
      </c>
    </row>
    <row r="10" spans="1:12" x14ac:dyDescent="0.3">
      <c r="A10">
        <v>30</v>
      </c>
      <c r="B10">
        <v>25905</v>
      </c>
      <c r="C10" t="s">
        <v>55</v>
      </c>
      <c r="D10" t="s">
        <v>58</v>
      </c>
      <c r="E10" t="s">
        <v>48</v>
      </c>
      <c r="F10" s="1">
        <v>41749</v>
      </c>
      <c r="G10" s="1">
        <v>23688</v>
      </c>
      <c r="H10" t="s">
        <v>14</v>
      </c>
      <c r="I10">
        <v>5578</v>
      </c>
      <c r="J10">
        <v>0.76</v>
      </c>
      <c r="K10">
        <v>0.97</v>
      </c>
      <c r="L10" t="s">
        <v>57</v>
      </c>
    </row>
    <row r="11" spans="1:12" x14ac:dyDescent="0.3">
      <c r="A11">
        <v>50</v>
      </c>
      <c r="B11">
        <v>30350</v>
      </c>
      <c r="C11" t="s">
        <v>46</v>
      </c>
      <c r="D11" t="s">
        <v>58</v>
      </c>
      <c r="E11" t="s">
        <v>85</v>
      </c>
      <c r="F11" s="1">
        <v>37817</v>
      </c>
      <c r="G11" s="1">
        <v>25539</v>
      </c>
      <c r="H11" t="s">
        <v>14</v>
      </c>
      <c r="I11">
        <v>6348</v>
      </c>
      <c r="J11">
        <v>0.76</v>
      </c>
      <c r="K11">
        <v>0.69</v>
      </c>
      <c r="L11" t="s">
        <v>57</v>
      </c>
    </row>
    <row r="12" spans="1:12" x14ac:dyDescent="0.3">
      <c r="A12">
        <v>58</v>
      </c>
      <c r="B12">
        <v>30349</v>
      </c>
      <c r="C12" t="s">
        <v>27</v>
      </c>
      <c r="D12" t="s">
        <v>58</v>
      </c>
      <c r="E12" t="s">
        <v>24</v>
      </c>
      <c r="F12" s="1">
        <v>42598</v>
      </c>
      <c r="G12" s="1">
        <v>25876</v>
      </c>
      <c r="H12" t="s">
        <v>14</v>
      </c>
      <c r="I12">
        <v>1952</v>
      </c>
      <c r="J12">
        <v>0.83</v>
      </c>
      <c r="K12">
        <v>0.76</v>
      </c>
      <c r="L12" t="s">
        <v>57</v>
      </c>
    </row>
    <row r="13" spans="1:12" x14ac:dyDescent="0.3">
      <c r="A13">
        <v>71</v>
      </c>
      <c r="B13">
        <v>30460</v>
      </c>
      <c r="C13" t="s">
        <v>31</v>
      </c>
      <c r="D13" t="s">
        <v>58</v>
      </c>
      <c r="E13" t="s">
        <v>85</v>
      </c>
      <c r="F13" s="1">
        <v>40680</v>
      </c>
      <c r="G13" s="1">
        <v>28100</v>
      </c>
      <c r="H13" t="s">
        <v>14</v>
      </c>
      <c r="I13">
        <v>18214</v>
      </c>
      <c r="J13">
        <v>0.78</v>
      </c>
      <c r="K13">
        <v>0.64</v>
      </c>
      <c r="L13"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B24C-F6C5-47CF-A4D0-1853AF3DDC78}">
  <dimension ref="A1:L19"/>
  <sheetViews>
    <sheetView topLeftCell="A8" workbookViewId="0">
      <selection activeCell="E30" sqref="E30"/>
    </sheetView>
  </sheetViews>
  <sheetFormatPr defaultRowHeight="14.4" x14ac:dyDescent="0.3"/>
  <cols>
    <col min="1" max="1" width="6.44140625" bestFit="1" customWidth="1"/>
    <col min="2" max="2" width="9.6640625" bestFit="1" customWidth="1"/>
    <col min="3" max="3" width="12.33203125" bestFit="1" customWidth="1"/>
    <col min="4" max="4" width="26.77734375" bestFit="1" customWidth="1"/>
    <col min="5" max="5" width="7.77734375" bestFit="1" customWidth="1"/>
    <col min="6" max="7" width="10.33203125" bestFit="1" customWidth="1"/>
    <col min="8" max="8" width="11.109375" bestFit="1" customWidth="1"/>
    <col min="9" max="9" width="6" bestFit="1" customWidth="1"/>
    <col min="10" max="11"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v>
      </c>
      <c r="B2">
        <v>28127</v>
      </c>
      <c r="C2" t="s">
        <v>42</v>
      </c>
      <c r="D2" t="s">
        <v>43</v>
      </c>
      <c r="E2" t="s">
        <v>85</v>
      </c>
      <c r="F2" s="1">
        <v>40919</v>
      </c>
      <c r="G2" s="1">
        <v>23989</v>
      </c>
      <c r="H2" t="s">
        <v>44</v>
      </c>
      <c r="I2">
        <v>21575</v>
      </c>
      <c r="J2">
        <v>0.86</v>
      </c>
      <c r="K2">
        <v>0.87</v>
      </c>
      <c r="L2" t="s">
        <v>45</v>
      </c>
    </row>
    <row r="3" spans="1:12" x14ac:dyDescent="0.3">
      <c r="A3">
        <v>14</v>
      </c>
      <c r="B3">
        <v>26422</v>
      </c>
      <c r="C3" t="s">
        <v>46</v>
      </c>
      <c r="D3" t="s">
        <v>47</v>
      </c>
      <c r="E3" t="s">
        <v>48</v>
      </c>
      <c r="F3" s="1">
        <v>38398</v>
      </c>
      <c r="G3" s="1">
        <v>23333</v>
      </c>
      <c r="H3" t="s">
        <v>14</v>
      </c>
      <c r="I3">
        <v>19023</v>
      </c>
      <c r="J3">
        <v>0.78</v>
      </c>
      <c r="K3">
        <v>0.89</v>
      </c>
      <c r="L3" t="s">
        <v>45</v>
      </c>
    </row>
    <row r="4" spans="1:12" x14ac:dyDescent="0.3">
      <c r="A4">
        <v>15</v>
      </c>
      <c r="B4">
        <v>26414</v>
      </c>
      <c r="C4" t="s">
        <v>37</v>
      </c>
      <c r="D4" t="s">
        <v>49</v>
      </c>
      <c r="E4" t="s">
        <v>85</v>
      </c>
      <c r="F4" s="1">
        <v>40292</v>
      </c>
      <c r="G4" s="1">
        <v>26435</v>
      </c>
      <c r="H4" t="s">
        <v>14</v>
      </c>
      <c r="I4">
        <v>12801</v>
      </c>
      <c r="J4">
        <v>0.75</v>
      </c>
      <c r="K4">
        <v>0.76</v>
      </c>
      <c r="L4" t="s">
        <v>45</v>
      </c>
    </row>
    <row r="5" spans="1:12" x14ac:dyDescent="0.3">
      <c r="A5">
        <v>24</v>
      </c>
      <c r="B5">
        <v>30352</v>
      </c>
      <c r="C5" t="s">
        <v>50</v>
      </c>
      <c r="D5" t="s">
        <v>49</v>
      </c>
      <c r="E5" t="s">
        <v>48</v>
      </c>
      <c r="F5" s="1">
        <v>42483</v>
      </c>
      <c r="G5" s="1">
        <v>25924</v>
      </c>
      <c r="H5" t="s">
        <v>14</v>
      </c>
      <c r="I5">
        <v>16742</v>
      </c>
      <c r="J5">
        <v>0.87</v>
      </c>
      <c r="K5">
        <v>0.87</v>
      </c>
      <c r="L5" t="s">
        <v>45</v>
      </c>
    </row>
    <row r="6" spans="1:12" x14ac:dyDescent="0.3">
      <c r="A6">
        <v>25</v>
      </c>
      <c r="B6">
        <v>26726</v>
      </c>
      <c r="C6" t="s">
        <v>38</v>
      </c>
      <c r="D6" t="s">
        <v>49</v>
      </c>
      <c r="E6" t="s">
        <v>48</v>
      </c>
      <c r="F6" s="1">
        <v>42490</v>
      </c>
      <c r="G6" s="1">
        <v>30587</v>
      </c>
      <c r="H6" t="s">
        <v>14</v>
      </c>
      <c r="I6">
        <v>15635</v>
      </c>
      <c r="J6">
        <v>0.84</v>
      </c>
      <c r="K6">
        <v>0.84</v>
      </c>
      <c r="L6" t="s">
        <v>45</v>
      </c>
    </row>
    <row r="7" spans="1:12" x14ac:dyDescent="0.3">
      <c r="A7">
        <v>35</v>
      </c>
      <c r="B7">
        <v>26431</v>
      </c>
      <c r="C7" t="s">
        <v>51</v>
      </c>
      <c r="D7" t="s">
        <v>47</v>
      </c>
      <c r="E7" t="s">
        <v>85</v>
      </c>
      <c r="F7" s="1">
        <v>42833</v>
      </c>
      <c r="G7" s="1">
        <v>30733</v>
      </c>
      <c r="H7" t="s">
        <v>14</v>
      </c>
      <c r="I7">
        <v>20897</v>
      </c>
      <c r="J7">
        <v>0.83</v>
      </c>
      <c r="K7">
        <v>0.67</v>
      </c>
      <c r="L7" t="s">
        <v>45</v>
      </c>
    </row>
    <row r="8" spans="1:12" x14ac:dyDescent="0.3">
      <c r="A8">
        <v>36</v>
      </c>
      <c r="B8">
        <v>26396</v>
      </c>
      <c r="C8" t="s">
        <v>52</v>
      </c>
      <c r="D8" t="s">
        <v>49</v>
      </c>
      <c r="E8" t="s">
        <v>24</v>
      </c>
      <c r="F8" s="1">
        <v>41527</v>
      </c>
      <c r="G8" s="1">
        <v>27607</v>
      </c>
      <c r="H8" t="s">
        <v>14</v>
      </c>
      <c r="I8">
        <v>15730</v>
      </c>
      <c r="J8">
        <v>0.86</v>
      </c>
      <c r="K8">
        <v>0.53</v>
      </c>
      <c r="L8" t="s">
        <v>45</v>
      </c>
    </row>
    <row r="9" spans="1:12" x14ac:dyDescent="0.3">
      <c r="A9">
        <v>44</v>
      </c>
      <c r="B9">
        <v>26445</v>
      </c>
      <c r="C9" t="s">
        <v>39</v>
      </c>
      <c r="D9" t="s">
        <v>49</v>
      </c>
      <c r="E9" t="s">
        <v>85</v>
      </c>
      <c r="F9" s="1">
        <v>39671</v>
      </c>
      <c r="G9" s="1">
        <v>25496</v>
      </c>
      <c r="H9" t="s">
        <v>14</v>
      </c>
      <c r="I9">
        <v>16861</v>
      </c>
      <c r="J9">
        <v>0.87</v>
      </c>
      <c r="K9">
        <v>0.52</v>
      </c>
      <c r="L9" t="s">
        <v>45</v>
      </c>
    </row>
    <row r="10" spans="1:12" x14ac:dyDescent="0.3">
      <c r="A10">
        <v>45</v>
      </c>
      <c r="B10">
        <v>26400</v>
      </c>
      <c r="C10" t="s">
        <v>40</v>
      </c>
      <c r="D10" t="s">
        <v>49</v>
      </c>
      <c r="E10" t="s">
        <v>48</v>
      </c>
      <c r="F10" s="1">
        <v>42084</v>
      </c>
      <c r="G10" s="1">
        <v>25856</v>
      </c>
      <c r="H10" t="s">
        <v>14</v>
      </c>
      <c r="I10">
        <v>5067</v>
      </c>
      <c r="J10">
        <v>0.86</v>
      </c>
      <c r="K10">
        <v>0.94</v>
      </c>
      <c r="L10" t="s">
        <v>45</v>
      </c>
    </row>
    <row r="11" spans="1:12" x14ac:dyDescent="0.3">
      <c r="A11">
        <v>53</v>
      </c>
      <c r="B11">
        <v>26443</v>
      </c>
      <c r="C11" t="s">
        <v>21</v>
      </c>
      <c r="D11" t="s">
        <v>49</v>
      </c>
      <c r="E11" t="s">
        <v>85</v>
      </c>
      <c r="F11" s="1">
        <v>39641</v>
      </c>
      <c r="G11" s="1">
        <v>25608</v>
      </c>
      <c r="H11" t="s">
        <v>14</v>
      </c>
      <c r="I11">
        <v>12903</v>
      </c>
      <c r="J11">
        <v>0.77</v>
      </c>
      <c r="K11">
        <v>0.75</v>
      </c>
      <c r="L11" t="s">
        <v>45</v>
      </c>
    </row>
    <row r="12" spans="1:12" x14ac:dyDescent="0.3">
      <c r="A12">
        <v>63</v>
      </c>
      <c r="B12">
        <v>26610</v>
      </c>
      <c r="C12" t="s">
        <v>53</v>
      </c>
      <c r="D12" t="s">
        <v>47</v>
      </c>
      <c r="E12" t="s">
        <v>48</v>
      </c>
      <c r="F12" s="1">
        <v>43121</v>
      </c>
      <c r="G12" s="1">
        <v>27200</v>
      </c>
      <c r="H12" t="s">
        <v>14</v>
      </c>
      <c r="I12">
        <v>4388</v>
      </c>
      <c r="J12">
        <v>0.86</v>
      </c>
      <c r="K12">
        <v>0.47</v>
      </c>
      <c r="L12" t="s">
        <v>45</v>
      </c>
    </row>
    <row r="13" spans="1:12" x14ac:dyDescent="0.3">
      <c r="A13">
        <v>64</v>
      </c>
      <c r="B13">
        <v>26404</v>
      </c>
      <c r="C13" t="s">
        <v>54</v>
      </c>
      <c r="D13" t="s">
        <v>49</v>
      </c>
      <c r="E13" t="s">
        <v>48</v>
      </c>
      <c r="F13" s="1">
        <v>43463</v>
      </c>
      <c r="G13" s="1">
        <v>27167</v>
      </c>
      <c r="H13" t="s">
        <v>14</v>
      </c>
      <c r="I13">
        <v>15454</v>
      </c>
      <c r="J13">
        <v>0.87</v>
      </c>
      <c r="K13">
        <v>0.94</v>
      </c>
      <c r="L13" t="s">
        <v>45</v>
      </c>
    </row>
    <row r="14" spans="1:12" x14ac:dyDescent="0.3">
      <c r="A14">
        <v>65</v>
      </c>
      <c r="B14">
        <v>26402</v>
      </c>
      <c r="C14" t="s">
        <v>55</v>
      </c>
      <c r="D14" t="s">
        <v>49</v>
      </c>
      <c r="E14" t="s">
        <v>85</v>
      </c>
      <c r="F14" s="1">
        <v>37676</v>
      </c>
      <c r="G14" s="1">
        <v>25124</v>
      </c>
      <c r="H14" t="s">
        <v>14</v>
      </c>
      <c r="I14">
        <v>24472</v>
      </c>
      <c r="J14">
        <v>0.84</v>
      </c>
      <c r="K14">
        <v>0.52</v>
      </c>
      <c r="L14" t="s">
        <v>45</v>
      </c>
    </row>
    <row r="15" spans="1:12" x14ac:dyDescent="0.3">
      <c r="A15">
        <v>66</v>
      </c>
      <c r="B15">
        <v>26427</v>
      </c>
      <c r="C15" t="s">
        <v>29</v>
      </c>
      <c r="D15" t="s">
        <v>49</v>
      </c>
      <c r="E15" t="s">
        <v>85</v>
      </c>
      <c r="F15" s="1">
        <v>37817</v>
      </c>
      <c r="G15" s="1">
        <v>23708</v>
      </c>
      <c r="H15" t="s">
        <v>14</v>
      </c>
      <c r="I15">
        <v>15992</v>
      </c>
      <c r="J15">
        <v>0.82</v>
      </c>
      <c r="K15">
        <v>0.91</v>
      </c>
      <c r="L15" t="s">
        <v>45</v>
      </c>
    </row>
    <row r="16" spans="1:12" x14ac:dyDescent="0.3">
      <c r="A16">
        <v>76</v>
      </c>
      <c r="B16">
        <v>26999</v>
      </c>
      <c r="C16" t="s">
        <v>12</v>
      </c>
      <c r="D16" t="s">
        <v>47</v>
      </c>
      <c r="E16" t="s">
        <v>85</v>
      </c>
      <c r="F16" s="1">
        <v>42515</v>
      </c>
      <c r="G16" s="1">
        <v>24332</v>
      </c>
      <c r="H16" t="s">
        <v>14</v>
      </c>
      <c r="I16">
        <v>21183</v>
      </c>
      <c r="J16">
        <v>0.85</v>
      </c>
      <c r="K16">
        <v>0.66</v>
      </c>
      <c r="L16" t="s">
        <v>45</v>
      </c>
    </row>
    <row r="17" spans="1:12" x14ac:dyDescent="0.3">
      <c r="A17">
        <v>77</v>
      </c>
      <c r="B17">
        <v>28929</v>
      </c>
      <c r="C17" t="s">
        <v>36</v>
      </c>
      <c r="D17" t="s">
        <v>49</v>
      </c>
      <c r="E17" t="s">
        <v>85</v>
      </c>
      <c r="F17" s="1">
        <v>41783</v>
      </c>
      <c r="G17" s="1">
        <v>25532</v>
      </c>
      <c r="H17" t="s">
        <v>14</v>
      </c>
      <c r="I17">
        <v>22459</v>
      </c>
      <c r="J17">
        <v>0.86</v>
      </c>
      <c r="K17">
        <v>0.43</v>
      </c>
      <c r="L17" t="s">
        <v>45</v>
      </c>
    </row>
    <row r="18" spans="1:12" x14ac:dyDescent="0.3">
      <c r="A18">
        <v>87</v>
      </c>
      <c r="B18">
        <v>26447</v>
      </c>
      <c r="C18" t="s">
        <v>21</v>
      </c>
      <c r="D18" t="s">
        <v>47</v>
      </c>
      <c r="E18" t="s">
        <v>48</v>
      </c>
      <c r="F18" s="1">
        <v>39669</v>
      </c>
      <c r="G18" s="1">
        <v>29342</v>
      </c>
      <c r="H18" t="s">
        <v>14</v>
      </c>
      <c r="I18">
        <v>2227</v>
      </c>
      <c r="J18">
        <v>0.8</v>
      </c>
      <c r="K18">
        <v>0.59</v>
      </c>
      <c r="L18" t="s">
        <v>45</v>
      </c>
    </row>
    <row r="19" spans="1:12" x14ac:dyDescent="0.3">
      <c r="A19">
        <v>88</v>
      </c>
      <c r="B19">
        <v>28227</v>
      </c>
      <c r="C19" t="s">
        <v>22</v>
      </c>
      <c r="D19" t="s">
        <v>49</v>
      </c>
      <c r="E19" t="s">
        <v>48</v>
      </c>
      <c r="F19" s="1">
        <v>39767</v>
      </c>
      <c r="G19" s="1">
        <v>26395</v>
      </c>
      <c r="H19" t="s">
        <v>14</v>
      </c>
      <c r="I19">
        <v>1673</v>
      </c>
      <c r="J19">
        <v>0.78</v>
      </c>
      <c r="K19">
        <v>0.78</v>
      </c>
      <c r="L19" t="s">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52CC-AB39-447D-8641-7F013C611A89}">
  <sheetPr>
    <tabColor theme="3" tint="0.249977111117893"/>
  </sheetPr>
  <dimension ref="A1:P95"/>
  <sheetViews>
    <sheetView zoomScaleNormal="100" workbookViewId="0"/>
  </sheetViews>
  <sheetFormatPr defaultRowHeight="14.4" x14ac:dyDescent="0.3"/>
  <cols>
    <col min="1" max="1" width="6.44140625" bestFit="1" customWidth="1"/>
    <col min="2" max="2" width="9.88671875" bestFit="1" customWidth="1"/>
    <col min="3" max="3" width="12.44140625" bestFit="1" customWidth="1"/>
    <col min="4" max="4" width="26.88671875" bestFit="1" customWidth="1"/>
    <col min="5" max="5" width="22.44140625" customWidth="1"/>
    <col min="6" max="6" width="18.33203125" customWidth="1"/>
    <col min="7" max="7" width="15.33203125" customWidth="1"/>
    <col min="8" max="8" width="21.21875" customWidth="1"/>
    <col min="9" max="9" width="12.21875" customWidth="1"/>
    <col min="10" max="11" width="10.77734375" bestFit="1" customWidth="1"/>
    <col min="12" max="12" width="8.88671875" bestFit="1" customWidth="1"/>
    <col min="13" max="13" width="19.77734375" bestFit="1" customWidth="1"/>
    <col min="14" max="14" width="6.21875" bestFit="1" customWidth="1"/>
    <col min="15" max="15" width="21.5546875" bestFit="1" customWidth="1"/>
    <col min="16" max="16" width="7.6640625" bestFit="1" customWidth="1"/>
  </cols>
  <sheetData>
    <row r="1" spans="1:16" s="15" customFormat="1" x14ac:dyDescent="0.3">
      <c r="A1" s="15" t="s">
        <v>0</v>
      </c>
      <c r="B1" s="16" t="s">
        <v>1</v>
      </c>
      <c r="C1" s="15" t="s">
        <v>2</v>
      </c>
      <c r="D1" s="15" t="s">
        <v>3</v>
      </c>
      <c r="E1" s="15" t="s">
        <v>4</v>
      </c>
      <c r="F1" s="15" t="s">
        <v>5</v>
      </c>
      <c r="G1" s="15" t="s">
        <v>6</v>
      </c>
      <c r="H1" s="15" t="s">
        <v>7</v>
      </c>
      <c r="I1" s="15" t="s">
        <v>8</v>
      </c>
      <c r="J1" s="15" t="s">
        <v>9</v>
      </c>
      <c r="K1" s="15" t="s">
        <v>10</v>
      </c>
      <c r="L1" s="15" t="s">
        <v>11</v>
      </c>
      <c r="M1" s="15" t="s">
        <v>77</v>
      </c>
      <c r="N1" s="15" t="s">
        <v>73</v>
      </c>
      <c r="O1" s="15" t="s">
        <v>75</v>
      </c>
      <c r="P1" s="15" t="s">
        <v>74</v>
      </c>
    </row>
    <row r="2" spans="1:16" x14ac:dyDescent="0.3">
      <c r="A2">
        <v>5</v>
      </c>
      <c r="B2" s="4">
        <v>27375</v>
      </c>
      <c r="C2" t="s">
        <v>12</v>
      </c>
      <c r="D2" t="s">
        <v>13</v>
      </c>
      <c r="E2" t="s">
        <v>48</v>
      </c>
      <c r="F2" s="1">
        <v>36741</v>
      </c>
      <c r="G2" s="1">
        <v>29281</v>
      </c>
      <c r="H2" t="s">
        <v>14</v>
      </c>
      <c r="I2">
        <v>35000</v>
      </c>
      <c r="J2" s="3">
        <v>0.89</v>
      </c>
      <c r="K2" s="3">
        <v>0.52</v>
      </c>
      <c r="L2" t="s">
        <v>15</v>
      </c>
      <c r="M2" s="13">
        <f ca="1">DATEDIF(F2, TODAY(), "Y")</f>
        <v>24</v>
      </c>
      <c r="N2">
        <f ca="1">DATEDIF(G2, TODAY(), "Y")</f>
        <v>45</v>
      </c>
      <c r="O2" s="2">
        <f>AVERAGE(All_Dept[[#This Row],[PER 2019]],All_Dept[[#This Row],[PER 2020]])</f>
        <v>0.70500000000000007</v>
      </c>
      <c r="P2" s="5">
        <f>All_Dept[[#This Row],[PER 2020]]-All_Dept[[#This Row],[PER 2019]]</f>
        <v>-0.37</v>
      </c>
    </row>
    <row r="3" spans="1:16" x14ac:dyDescent="0.3">
      <c r="A3">
        <v>10</v>
      </c>
      <c r="B3" s="4">
        <v>30377</v>
      </c>
      <c r="C3" t="s">
        <v>16</v>
      </c>
      <c r="D3" t="s">
        <v>17</v>
      </c>
      <c r="E3" t="s">
        <v>85</v>
      </c>
      <c r="F3" s="1">
        <v>40362</v>
      </c>
      <c r="G3" s="1">
        <v>25550</v>
      </c>
      <c r="H3" t="s">
        <v>18</v>
      </c>
      <c r="I3">
        <v>17456</v>
      </c>
      <c r="J3" s="3">
        <v>0.87</v>
      </c>
      <c r="K3" s="3">
        <v>0.97</v>
      </c>
      <c r="L3" t="s">
        <v>15</v>
      </c>
      <c r="M3" s="13">
        <f ca="1">DATEDIF(F3, TODAY(), "Y")</f>
        <v>14</v>
      </c>
      <c r="N3">
        <f ca="1">DATEDIF(G3, TODAY(), "Y")</f>
        <v>55</v>
      </c>
      <c r="O3" s="2">
        <f>AVERAGE(All_Dept[[#This Row],[PER 2019]],All_Dept[[#This Row],[PER 2020]])</f>
        <v>0.91999999999999993</v>
      </c>
      <c r="P3" s="5">
        <f>All_Dept[[#This Row],[PER 2020]]-All_Dept[[#This Row],[PER 2019]]</f>
        <v>9.9999999999999978E-2</v>
      </c>
    </row>
    <row r="4" spans="1:16" x14ac:dyDescent="0.3">
      <c r="A4">
        <v>11</v>
      </c>
      <c r="B4" s="4">
        <v>29369</v>
      </c>
      <c r="C4" t="s">
        <v>19</v>
      </c>
      <c r="D4" t="s">
        <v>17</v>
      </c>
      <c r="E4" t="s">
        <v>85</v>
      </c>
      <c r="F4" s="1">
        <v>42326</v>
      </c>
      <c r="G4" s="1">
        <v>28807</v>
      </c>
      <c r="H4" t="s">
        <v>18</v>
      </c>
      <c r="I4">
        <v>7943</v>
      </c>
      <c r="J4" s="3">
        <v>0.75</v>
      </c>
      <c r="K4" s="3">
        <v>0.7</v>
      </c>
      <c r="L4" t="s">
        <v>15</v>
      </c>
      <c r="M4" s="13">
        <f ca="1">DATEDIF(F4, TODAY(), "Y")</f>
        <v>9</v>
      </c>
      <c r="N4">
        <f ca="1">DATEDIF(G4, TODAY(), "Y")</f>
        <v>46</v>
      </c>
      <c r="O4" s="2">
        <f>AVERAGE(All_Dept[[#This Row],[PER 2019]],All_Dept[[#This Row],[PER 2020]])</f>
        <v>0.72499999999999998</v>
      </c>
      <c r="P4" s="5">
        <f>All_Dept[[#This Row],[PER 2020]]-All_Dept[[#This Row],[PER 2019]]</f>
        <v>-5.0000000000000044E-2</v>
      </c>
    </row>
    <row r="5" spans="1:16" x14ac:dyDescent="0.3">
      <c r="A5">
        <v>16</v>
      </c>
      <c r="B5" s="4">
        <v>27142</v>
      </c>
      <c r="C5" t="s">
        <v>20</v>
      </c>
      <c r="D5" t="s">
        <v>17</v>
      </c>
      <c r="E5" t="s">
        <v>85</v>
      </c>
      <c r="F5" s="1">
        <v>40688</v>
      </c>
      <c r="G5" s="1">
        <v>26102</v>
      </c>
      <c r="H5" t="s">
        <v>18</v>
      </c>
      <c r="I5">
        <v>16613</v>
      </c>
      <c r="J5" s="3">
        <v>0.84</v>
      </c>
      <c r="K5" s="3">
        <v>0.42</v>
      </c>
      <c r="L5" t="s">
        <v>15</v>
      </c>
      <c r="M5" s="13">
        <f ca="1">DATEDIF(F5, TODAY(), "Y")</f>
        <v>14</v>
      </c>
      <c r="N5">
        <f ca="1">DATEDIF(G5, TODAY(), "Y")</f>
        <v>54</v>
      </c>
      <c r="O5" s="2">
        <f>AVERAGE(All_Dept[[#This Row],[PER 2019]],All_Dept[[#This Row],[PER 2020]])</f>
        <v>0.63</v>
      </c>
      <c r="P5" s="5">
        <f>All_Dept[[#This Row],[PER 2020]]-All_Dept[[#This Row],[PER 2019]]</f>
        <v>-0.42</v>
      </c>
    </row>
    <row r="6" spans="1:16" x14ac:dyDescent="0.3">
      <c r="A6">
        <v>17</v>
      </c>
      <c r="B6" s="4">
        <v>27650</v>
      </c>
      <c r="C6" t="s">
        <v>21</v>
      </c>
      <c r="D6" t="s">
        <v>17</v>
      </c>
      <c r="E6" t="s">
        <v>85</v>
      </c>
      <c r="F6" s="1">
        <v>40726</v>
      </c>
      <c r="G6" s="1">
        <v>29194</v>
      </c>
      <c r="H6" t="s">
        <v>18</v>
      </c>
      <c r="I6">
        <v>6329</v>
      </c>
      <c r="J6" s="3">
        <v>0.81</v>
      </c>
      <c r="K6" s="3">
        <v>0.71</v>
      </c>
      <c r="L6" t="s">
        <v>15</v>
      </c>
      <c r="M6" s="13">
        <f ca="1">DATEDIF(F6, TODAY(), "Y")</f>
        <v>13</v>
      </c>
      <c r="N6">
        <f ca="1">DATEDIF(G6, TODAY(), "Y")</f>
        <v>45</v>
      </c>
      <c r="O6" s="2">
        <f>AVERAGE(All_Dept[[#This Row],[PER 2019]],All_Dept[[#This Row],[PER 2020]])</f>
        <v>0.76</v>
      </c>
      <c r="P6" s="5">
        <f>All_Dept[[#This Row],[PER 2020]]-All_Dept[[#This Row],[PER 2019]]</f>
        <v>-0.10000000000000009</v>
      </c>
    </row>
    <row r="7" spans="1:16" x14ac:dyDescent="0.3">
      <c r="A7">
        <v>18</v>
      </c>
      <c r="B7" s="4">
        <v>25906</v>
      </c>
      <c r="C7" t="s">
        <v>22</v>
      </c>
      <c r="D7" t="s">
        <v>17</v>
      </c>
      <c r="E7" t="s">
        <v>48</v>
      </c>
      <c r="F7" s="1">
        <v>41498</v>
      </c>
      <c r="G7" s="1">
        <v>29664</v>
      </c>
      <c r="H7" t="s">
        <v>18</v>
      </c>
      <c r="I7">
        <v>17215</v>
      </c>
      <c r="J7" s="3">
        <v>0.8</v>
      </c>
      <c r="K7" s="3">
        <v>0.87</v>
      </c>
      <c r="L7" t="s">
        <v>15</v>
      </c>
      <c r="M7" s="13">
        <f ca="1">DATEDIF(F7, TODAY(), "Y")</f>
        <v>11</v>
      </c>
      <c r="N7">
        <f ca="1">DATEDIF(G7, TODAY(), "Y")</f>
        <v>44</v>
      </c>
      <c r="O7" s="2">
        <f>AVERAGE(All_Dept[[#This Row],[PER 2019]],All_Dept[[#This Row],[PER 2020]])</f>
        <v>0.83499999999999996</v>
      </c>
      <c r="P7" s="5">
        <f>All_Dept[[#This Row],[PER 2020]]-All_Dept[[#This Row],[PER 2019]]</f>
        <v>6.9999999999999951E-2</v>
      </c>
    </row>
    <row r="8" spans="1:16" x14ac:dyDescent="0.3">
      <c r="A8">
        <v>19</v>
      </c>
      <c r="B8" s="4">
        <v>26439</v>
      </c>
      <c r="C8" t="s">
        <v>23</v>
      </c>
      <c r="D8" t="s">
        <v>17</v>
      </c>
      <c r="E8" t="s">
        <v>24</v>
      </c>
      <c r="F8" s="1">
        <v>41905</v>
      </c>
      <c r="G8" s="1">
        <v>25213</v>
      </c>
      <c r="H8" t="s">
        <v>18</v>
      </c>
      <c r="I8">
        <v>4799</v>
      </c>
      <c r="J8" s="3">
        <v>0.86</v>
      </c>
      <c r="K8" s="3">
        <v>0.64</v>
      </c>
      <c r="L8" t="s">
        <v>15</v>
      </c>
      <c r="M8" s="13">
        <f ca="1">DATEDIF(F8, TODAY(), "Y")</f>
        <v>10</v>
      </c>
      <c r="N8">
        <f ca="1">DATEDIF(G8, TODAY(), "Y")</f>
        <v>56</v>
      </c>
      <c r="O8" s="2">
        <f>AVERAGE(All_Dept[[#This Row],[PER 2019]],All_Dept[[#This Row],[PER 2020]])</f>
        <v>0.75</v>
      </c>
      <c r="P8" s="5">
        <f>All_Dept[[#This Row],[PER 2020]]-All_Dept[[#This Row],[PER 2019]]</f>
        <v>-0.21999999999999997</v>
      </c>
    </row>
    <row r="9" spans="1:16" x14ac:dyDescent="0.3">
      <c r="A9">
        <v>20</v>
      </c>
      <c r="B9" s="4">
        <v>26438</v>
      </c>
      <c r="C9" t="s">
        <v>25</v>
      </c>
      <c r="D9" t="s">
        <v>17</v>
      </c>
      <c r="E9" t="s">
        <v>24</v>
      </c>
      <c r="F9" s="1">
        <v>41923</v>
      </c>
      <c r="G9" s="1">
        <v>25210</v>
      </c>
      <c r="H9" t="s">
        <v>18</v>
      </c>
      <c r="I9">
        <v>18547</v>
      </c>
      <c r="J9" s="3">
        <v>0.82</v>
      </c>
      <c r="K9" s="3">
        <v>0.65</v>
      </c>
      <c r="L9" t="s">
        <v>15</v>
      </c>
      <c r="M9" s="13">
        <f ca="1">DATEDIF(F9, TODAY(), "Y")</f>
        <v>10</v>
      </c>
      <c r="N9">
        <f ca="1">DATEDIF(G9, TODAY(), "Y")</f>
        <v>56</v>
      </c>
      <c r="O9" s="2">
        <f>AVERAGE(All_Dept[[#This Row],[PER 2019]],All_Dept[[#This Row],[PER 2020]])</f>
        <v>0.73499999999999999</v>
      </c>
      <c r="P9" s="5">
        <f>All_Dept[[#This Row],[PER 2020]]-All_Dept[[#This Row],[PER 2019]]</f>
        <v>-0.16999999999999993</v>
      </c>
    </row>
    <row r="10" spans="1:16" x14ac:dyDescent="0.3">
      <c r="A10">
        <v>21</v>
      </c>
      <c r="B10" s="4">
        <v>31456</v>
      </c>
      <c r="C10" t="s">
        <v>26</v>
      </c>
      <c r="D10" t="s">
        <v>17</v>
      </c>
      <c r="E10" t="s">
        <v>85</v>
      </c>
      <c r="F10" s="1">
        <v>42105</v>
      </c>
      <c r="G10" s="1">
        <v>23312</v>
      </c>
      <c r="H10" t="s">
        <v>18</v>
      </c>
      <c r="I10">
        <v>4649</v>
      </c>
      <c r="J10" s="3">
        <v>0.75</v>
      </c>
      <c r="K10" s="3">
        <v>0.78</v>
      </c>
      <c r="L10" t="s">
        <v>15</v>
      </c>
      <c r="M10" s="13">
        <f ca="1">DATEDIF(F10, TODAY(), "Y")</f>
        <v>10</v>
      </c>
      <c r="N10">
        <f ca="1">DATEDIF(G10, TODAY(), "Y")</f>
        <v>61</v>
      </c>
      <c r="O10" s="2">
        <f>AVERAGE(All_Dept[[#This Row],[PER 2019]],All_Dept[[#This Row],[PER 2020]])</f>
        <v>0.76500000000000001</v>
      </c>
      <c r="P10" s="5">
        <f>All_Dept[[#This Row],[PER 2020]]-All_Dept[[#This Row],[PER 2019]]</f>
        <v>3.0000000000000027E-2</v>
      </c>
    </row>
    <row r="11" spans="1:16" x14ac:dyDescent="0.3">
      <c r="A11">
        <v>22</v>
      </c>
      <c r="B11" s="4">
        <v>27141</v>
      </c>
      <c r="C11" t="s">
        <v>27</v>
      </c>
      <c r="D11" t="s">
        <v>17</v>
      </c>
      <c r="E11" t="s">
        <v>48</v>
      </c>
      <c r="F11" s="1">
        <v>42105</v>
      </c>
      <c r="G11" s="1">
        <v>30808</v>
      </c>
      <c r="H11" t="s">
        <v>18</v>
      </c>
      <c r="I11">
        <v>15173</v>
      </c>
      <c r="J11" s="3">
        <v>0.85</v>
      </c>
      <c r="K11" s="3">
        <v>0.96</v>
      </c>
      <c r="L11" t="s">
        <v>15</v>
      </c>
      <c r="M11" s="13">
        <f ca="1">DATEDIF(F11, TODAY(), "Y")</f>
        <v>10</v>
      </c>
      <c r="N11">
        <f ca="1">DATEDIF(G11, TODAY(), "Y")</f>
        <v>41</v>
      </c>
      <c r="O11" s="2">
        <f>AVERAGE(All_Dept[[#This Row],[PER 2019]],All_Dept[[#This Row],[PER 2020]])</f>
        <v>0.90500000000000003</v>
      </c>
      <c r="P11" s="5">
        <f>All_Dept[[#This Row],[PER 2020]]-All_Dept[[#This Row],[PER 2019]]</f>
        <v>0.10999999999999999</v>
      </c>
    </row>
    <row r="12" spans="1:16" x14ac:dyDescent="0.3">
      <c r="A12">
        <v>23</v>
      </c>
      <c r="B12" s="4">
        <v>26448</v>
      </c>
      <c r="C12" t="s">
        <v>28</v>
      </c>
      <c r="D12" t="s">
        <v>17</v>
      </c>
      <c r="E12" t="s">
        <v>48</v>
      </c>
      <c r="F12" s="1">
        <v>42469</v>
      </c>
      <c r="G12" s="1">
        <v>30487</v>
      </c>
      <c r="H12" t="s">
        <v>18</v>
      </c>
      <c r="I12">
        <v>18240</v>
      </c>
      <c r="J12" s="3">
        <v>0.89</v>
      </c>
      <c r="K12" s="3">
        <v>0.61</v>
      </c>
      <c r="L12" t="s">
        <v>15</v>
      </c>
      <c r="M12" s="13">
        <f ca="1">DATEDIF(F12, TODAY(), "Y")</f>
        <v>9</v>
      </c>
      <c r="N12">
        <f ca="1">DATEDIF(G12, TODAY(), "Y")</f>
        <v>42</v>
      </c>
      <c r="O12" s="2">
        <f>AVERAGE(All_Dept[[#This Row],[PER 2019]],All_Dept[[#This Row],[PER 2020]])</f>
        <v>0.75</v>
      </c>
      <c r="P12" s="5">
        <f>All_Dept[[#This Row],[PER 2020]]-All_Dept[[#This Row],[PER 2019]]</f>
        <v>-0.28000000000000003</v>
      </c>
    </row>
    <row r="13" spans="1:16" x14ac:dyDescent="0.3">
      <c r="A13">
        <v>31</v>
      </c>
      <c r="B13" s="4">
        <v>26437</v>
      </c>
      <c r="C13" t="s">
        <v>29</v>
      </c>
      <c r="D13" t="s">
        <v>17</v>
      </c>
      <c r="E13" t="s">
        <v>48</v>
      </c>
      <c r="F13" s="1">
        <v>41923</v>
      </c>
      <c r="G13" s="1">
        <v>27988</v>
      </c>
      <c r="H13" t="s">
        <v>18</v>
      </c>
      <c r="I13">
        <v>3445</v>
      </c>
      <c r="J13" s="3">
        <v>0.78</v>
      </c>
      <c r="K13" s="3">
        <v>0.65</v>
      </c>
      <c r="L13" t="s">
        <v>15</v>
      </c>
      <c r="M13" s="13">
        <f ca="1">DATEDIF(F13, TODAY(), "Y")</f>
        <v>10</v>
      </c>
      <c r="N13">
        <f ca="1">DATEDIF(G13, TODAY(), "Y")</f>
        <v>48</v>
      </c>
      <c r="O13" s="2">
        <f>AVERAGE(All_Dept[[#This Row],[PER 2019]],All_Dept[[#This Row],[PER 2020]])</f>
        <v>0.71500000000000008</v>
      </c>
      <c r="P13" s="5">
        <f>All_Dept[[#This Row],[PER 2020]]-All_Dept[[#This Row],[PER 2019]]</f>
        <v>-0.13</v>
      </c>
    </row>
    <row r="14" spans="1:16" x14ac:dyDescent="0.3">
      <c r="A14">
        <v>32</v>
      </c>
      <c r="B14" s="4">
        <v>27960</v>
      </c>
      <c r="C14" t="s">
        <v>30</v>
      </c>
      <c r="D14" t="s">
        <v>17</v>
      </c>
      <c r="E14" t="s">
        <v>85</v>
      </c>
      <c r="F14" s="1">
        <v>42417</v>
      </c>
      <c r="G14" s="1">
        <v>23641</v>
      </c>
      <c r="H14" t="s">
        <v>18</v>
      </c>
      <c r="I14">
        <v>13889</v>
      </c>
      <c r="J14" s="3">
        <v>0.85</v>
      </c>
      <c r="K14" s="3">
        <v>0.61</v>
      </c>
      <c r="L14" t="s">
        <v>15</v>
      </c>
      <c r="M14" s="13">
        <f ca="1">DATEDIF(F14, TODAY(), "Y")</f>
        <v>9</v>
      </c>
      <c r="N14">
        <f ca="1">DATEDIF(G14, TODAY(), "Y")</f>
        <v>60</v>
      </c>
      <c r="O14" s="2">
        <f>AVERAGE(All_Dept[[#This Row],[PER 2019]],All_Dept[[#This Row],[PER 2020]])</f>
        <v>0.73</v>
      </c>
      <c r="P14" s="5">
        <f>All_Dept[[#This Row],[PER 2020]]-All_Dept[[#This Row],[PER 2019]]</f>
        <v>-0.24</v>
      </c>
    </row>
    <row r="15" spans="1:16" x14ac:dyDescent="0.3">
      <c r="A15">
        <v>37</v>
      </c>
      <c r="B15" s="4">
        <v>27003</v>
      </c>
      <c r="C15" t="s">
        <v>31</v>
      </c>
      <c r="D15" t="s">
        <v>17</v>
      </c>
      <c r="E15" t="s">
        <v>48</v>
      </c>
      <c r="F15" s="1">
        <v>43121</v>
      </c>
      <c r="G15" s="1">
        <v>29256</v>
      </c>
      <c r="H15" t="s">
        <v>18</v>
      </c>
      <c r="I15">
        <v>23467</v>
      </c>
      <c r="J15" s="3">
        <v>0.79</v>
      </c>
      <c r="K15" s="3">
        <v>0.95</v>
      </c>
      <c r="L15" t="s">
        <v>15</v>
      </c>
      <c r="M15" s="13">
        <f ca="1">DATEDIF(F15, TODAY(), "Y")</f>
        <v>7</v>
      </c>
      <c r="N15">
        <f ca="1">DATEDIF(G15, TODAY(), "Y")</f>
        <v>45</v>
      </c>
      <c r="O15" s="2">
        <f>AVERAGE(All_Dept[[#This Row],[PER 2019]],All_Dept[[#This Row],[PER 2020]])</f>
        <v>0.87</v>
      </c>
      <c r="P15" s="5">
        <f>All_Dept[[#This Row],[PER 2020]]-All_Dept[[#This Row],[PER 2019]]</f>
        <v>0.15999999999999992</v>
      </c>
    </row>
    <row r="16" spans="1:16" x14ac:dyDescent="0.3">
      <c r="A16">
        <v>38</v>
      </c>
      <c r="B16" s="4">
        <v>26440</v>
      </c>
      <c r="C16" t="s">
        <v>32</v>
      </c>
      <c r="D16" t="s">
        <v>17</v>
      </c>
      <c r="E16" t="s">
        <v>85</v>
      </c>
      <c r="F16" s="1">
        <v>43121</v>
      </c>
      <c r="G16" s="1">
        <v>28364</v>
      </c>
      <c r="H16" t="s">
        <v>18</v>
      </c>
      <c r="I16">
        <v>2486</v>
      </c>
      <c r="J16" s="3">
        <v>0.83</v>
      </c>
      <c r="K16" s="3">
        <v>0.67</v>
      </c>
      <c r="L16" t="s">
        <v>15</v>
      </c>
      <c r="M16" s="13">
        <f ca="1">DATEDIF(F16, TODAY(), "Y")</f>
        <v>7</v>
      </c>
      <c r="N16">
        <f ca="1">DATEDIF(G16, TODAY(), "Y")</f>
        <v>47</v>
      </c>
      <c r="O16" s="2">
        <f>AVERAGE(All_Dept[[#This Row],[PER 2019]],All_Dept[[#This Row],[PER 2020]])</f>
        <v>0.75</v>
      </c>
      <c r="P16" s="5">
        <f>All_Dept[[#This Row],[PER 2020]]-All_Dept[[#This Row],[PER 2019]]</f>
        <v>-0.15999999999999992</v>
      </c>
    </row>
    <row r="17" spans="1:16" x14ac:dyDescent="0.3">
      <c r="A17">
        <v>39</v>
      </c>
      <c r="B17" s="4">
        <v>26433</v>
      </c>
      <c r="C17" t="s">
        <v>33</v>
      </c>
      <c r="D17" t="s">
        <v>17</v>
      </c>
      <c r="E17" t="s">
        <v>85</v>
      </c>
      <c r="F17" s="1">
        <v>43121</v>
      </c>
      <c r="G17" s="1">
        <v>23497</v>
      </c>
      <c r="H17" t="s">
        <v>18</v>
      </c>
      <c r="I17">
        <v>9365</v>
      </c>
      <c r="J17" s="3">
        <v>0.84</v>
      </c>
      <c r="K17" s="3">
        <v>0.4</v>
      </c>
      <c r="L17" t="s">
        <v>15</v>
      </c>
      <c r="M17" s="13">
        <f ca="1">DATEDIF(F17, TODAY(), "Y")</f>
        <v>7</v>
      </c>
      <c r="N17">
        <f ca="1">DATEDIF(G17, TODAY(), "Y")</f>
        <v>61</v>
      </c>
      <c r="O17" s="2">
        <f>AVERAGE(All_Dept[[#This Row],[PER 2019]],All_Dept[[#This Row],[PER 2020]])</f>
        <v>0.62</v>
      </c>
      <c r="P17" s="5">
        <f>All_Dept[[#This Row],[PER 2020]]-All_Dept[[#This Row],[PER 2019]]</f>
        <v>-0.43999999999999995</v>
      </c>
    </row>
    <row r="18" spans="1:16" x14ac:dyDescent="0.3">
      <c r="A18">
        <v>40</v>
      </c>
      <c r="B18" s="4">
        <v>31457</v>
      </c>
      <c r="C18" t="s">
        <v>34</v>
      </c>
      <c r="D18" t="s">
        <v>17</v>
      </c>
      <c r="E18" t="s">
        <v>48</v>
      </c>
      <c r="F18" s="1">
        <v>36312</v>
      </c>
      <c r="G18" s="1">
        <v>23532</v>
      </c>
      <c r="H18" t="s">
        <v>18</v>
      </c>
      <c r="I18">
        <v>22438</v>
      </c>
      <c r="J18" s="3">
        <v>0.82</v>
      </c>
      <c r="K18" s="3">
        <v>0.56999999999999995</v>
      </c>
      <c r="L18" t="s">
        <v>15</v>
      </c>
      <c r="M18" s="13">
        <f ca="1">DATEDIF(F18, TODAY(), "Y")</f>
        <v>26</v>
      </c>
      <c r="N18">
        <f ca="1">DATEDIF(G18, TODAY(), "Y")</f>
        <v>61</v>
      </c>
      <c r="O18" s="2">
        <f>AVERAGE(All_Dept[[#This Row],[PER 2019]],All_Dept[[#This Row],[PER 2020]])</f>
        <v>0.69499999999999995</v>
      </c>
      <c r="P18" s="5">
        <f>All_Dept[[#This Row],[PER 2020]]-All_Dept[[#This Row],[PER 2019]]</f>
        <v>-0.25</v>
      </c>
    </row>
    <row r="19" spans="1:16" x14ac:dyDescent="0.3">
      <c r="A19">
        <v>41</v>
      </c>
      <c r="B19" s="4">
        <v>27648</v>
      </c>
      <c r="C19" t="s">
        <v>35</v>
      </c>
      <c r="D19" t="s">
        <v>17</v>
      </c>
      <c r="E19" t="s">
        <v>48</v>
      </c>
      <c r="F19" s="1">
        <v>38115</v>
      </c>
      <c r="G19" s="1">
        <v>32743</v>
      </c>
      <c r="H19" t="s">
        <v>18</v>
      </c>
      <c r="I19">
        <v>20869</v>
      </c>
      <c r="J19" s="3">
        <v>0.77</v>
      </c>
      <c r="K19" s="3">
        <v>0.41</v>
      </c>
      <c r="L19" t="s">
        <v>15</v>
      </c>
      <c r="M19" s="13">
        <f ca="1">DATEDIF(F19, TODAY(), "Y")</f>
        <v>21</v>
      </c>
      <c r="N19">
        <f ca="1">DATEDIF(G19, TODAY(), "Y")</f>
        <v>35</v>
      </c>
      <c r="O19" s="2">
        <f>AVERAGE(All_Dept[[#This Row],[PER 2019]],All_Dept[[#This Row],[PER 2020]])</f>
        <v>0.59</v>
      </c>
      <c r="P19" s="5">
        <f>All_Dept[[#This Row],[PER 2020]]-All_Dept[[#This Row],[PER 2019]]</f>
        <v>-0.36000000000000004</v>
      </c>
    </row>
    <row r="20" spans="1:16" x14ac:dyDescent="0.3">
      <c r="A20">
        <v>42</v>
      </c>
      <c r="B20" s="4">
        <v>27858</v>
      </c>
      <c r="C20" t="s">
        <v>12</v>
      </c>
      <c r="D20" t="s">
        <v>17</v>
      </c>
      <c r="E20" t="s">
        <v>85</v>
      </c>
      <c r="F20" s="1">
        <v>40850</v>
      </c>
      <c r="G20" s="1">
        <v>28621</v>
      </c>
      <c r="H20" t="s">
        <v>18</v>
      </c>
      <c r="I20">
        <v>1428</v>
      </c>
      <c r="J20" s="3">
        <v>0.87</v>
      </c>
      <c r="K20" s="3">
        <v>0.96</v>
      </c>
      <c r="L20" t="s">
        <v>15</v>
      </c>
      <c r="M20" s="13">
        <f ca="1">DATEDIF(F20, TODAY(), "Y")</f>
        <v>13</v>
      </c>
      <c r="N20">
        <f ca="1">DATEDIF(G20, TODAY(), "Y")</f>
        <v>47</v>
      </c>
      <c r="O20" s="2">
        <f>AVERAGE(All_Dept[[#This Row],[PER 2019]],All_Dept[[#This Row],[PER 2020]])</f>
        <v>0.91500000000000004</v>
      </c>
      <c r="P20" s="5">
        <f>All_Dept[[#This Row],[PER 2020]]-All_Dept[[#This Row],[PER 2019]]</f>
        <v>8.9999999999999969E-2</v>
      </c>
    </row>
    <row r="21" spans="1:16" x14ac:dyDescent="0.3">
      <c r="A21">
        <v>43</v>
      </c>
      <c r="B21" s="4">
        <v>26444</v>
      </c>
      <c r="C21" t="s">
        <v>36</v>
      </c>
      <c r="D21" t="s">
        <v>17</v>
      </c>
      <c r="E21" t="s">
        <v>48</v>
      </c>
      <c r="F21" s="1">
        <v>35868</v>
      </c>
      <c r="G21" s="1">
        <v>28782</v>
      </c>
      <c r="H21" t="s">
        <v>18</v>
      </c>
      <c r="I21">
        <v>16767</v>
      </c>
      <c r="J21" s="3">
        <v>0.84</v>
      </c>
      <c r="K21" s="3">
        <v>0.69</v>
      </c>
      <c r="L21" t="s">
        <v>15</v>
      </c>
      <c r="M21" s="13">
        <f ca="1">DATEDIF(F21, TODAY(), "Y")</f>
        <v>27</v>
      </c>
      <c r="N21">
        <f ca="1">DATEDIF(G21, TODAY(), "Y")</f>
        <v>46</v>
      </c>
      <c r="O21" s="2">
        <f>AVERAGE(All_Dept[[#This Row],[PER 2019]],All_Dept[[#This Row],[PER 2020]])</f>
        <v>0.7649999999999999</v>
      </c>
      <c r="P21" s="5">
        <f>All_Dept[[#This Row],[PER 2020]]-All_Dept[[#This Row],[PER 2019]]</f>
        <v>-0.15000000000000002</v>
      </c>
    </row>
    <row r="22" spans="1:16" x14ac:dyDescent="0.3">
      <c r="A22">
        <v>51</v>
      </c>
      <c r="B22" s="4">
        <v>28126</v>
      </c>
      <c r="C22" t="s">
        <v>37</v>
      </c>
      <c r="D22" t="s">
        <v>17</v>
      </c>
      <c r="E22" t="s">
        <v>48</v>
      </c>
      <c r="F22" s="1">
        <v>38930</v>
      </c>
      <c r="G22" s="1">
        <v>28166</v>
      </c>
      <c r="H22" t="s">
        <v>18</v>
      </c>
      <c r="I22">
        <v>12122</v>
      </c>
      <c r="J22" s="3">
        <v>0.76</v>
      </c>
      <c r="K22" s="3">
        <v>0.67</v>
      </c>
      <c r="L22" t="s">
        <v>15</v>
      </c>
      <c r="M22" s="13">
        <f ca="1">DATEDIF(F22, TODAY(), "Y")</f>
        <v>18</v>
      </c>
      <c r="N22">
        <f ca="1">DATEDIF(G22, TODAY(), "Y")</f>
        <v>48</v>
      </c>
      <c r="O22" s="2">
        <f>AVERAGE(All_Dept[[#This Row],[PER 2019]],All_Dept[[#This Row],[PER 2020]])</f>
        <v>0.71500000000000008</v>
      </c>
      <c r="P22" s="5">
        <f>All_Dept[[#This Row],[PER 2020]]-All_Dept[[#This Row],[PER 2019]]</f>
        <v>-8.9999999999999969E-2</v>
      </c>
    </row>
    <row r="23" spans="1:16" x14ac:dyDescent="0.3">
      <c r="A23">
        <v>52</v>
      </c>
      <c r="B23" s="4">
        <v>26413</v>
      </c>
      <c r="C23" t="s">
        <v>20</v>
      </c>
      <c r="D23" t="s">
        <v>17</v>
      </c>
      <c r="E23" t="s">
        <v>85</v>
      </c>
      <c r="F23" s="1">
        <v>39144</v>
      </c>
      <c r="G23" s="1">
        <v>25356</v>
      </c>
      <c r="H23" t="s">
        <v>18</v>
      </c>
      <c r="I23">
        <v>24004</v>
      </c>
      <c r="J23" s="3">
        <v>0.81</v>
      </c>
      <c r="K23" s="3">
        <v>0.77</v>
      </c>
      <c r="L23" t="s">
        <v>15</v>
      </c>
      <c r="M23" s="13">
        <f ca="1">DATEDIF(F23, TODAY(), "Y")</f>
        <v>18</v>
      </c>
      <c r="N23">
        <f ca="1">DATEDIF(G23, TODAY(), "Y")</f>
        <v>56</v>
      </c>
      <c r="O23" s="2">
        <f>AVERAGE(All_Dept[[#This Row],[PER 2019]],All_Dept[[#This Row],[PER 2020]])</f>
        <v>0.79</v>
      </c>
      <c r="P23" s="5">
        <f>All_Dept[[#This Row],[PER 2020]]-All_Dept[[#This Row],[PER 2019]]</f>
        <v>-4.0000000000000036E-2</v>
      </c>
    </row>
    <row r="24" spans="1:16" x14ac:dyDescent="0.3">
      <c r="A24">
        <v>59</v>
      </c>
      <c r="B24" s="4">
        <v>26347</v>
      </c>
      <c r="C24" t="s">
        <v>28</v>
      </c>
      <c r="D24" t="s">
        <v>17</v>
      </c>
      <c r="E24" t="s">
        <v>85</v>
      </c>
      <c r="F24" s="1">
        <v>42576</v>
      </c>
      <c r="G24" s="1">
        <v>32599</v>
      </c>
      <c r="H24" t="s">
        <v>18</v>
      </c>
      <c r="I24">
        <v>7329</v>
      </c>
      <c r="J24" s="3">
        <v>0.86</v>
      </c>
      <c r="K24" s="3">
        <v>0.61</v>
      </c>
      <c r="L24" t="s">
        <v>15</v>
      </c>
      <c r="M24" s="13">
        <f ca="1">DATEDIF(F24, TODAY(), "Y")</f>
        <v>8</v>
      </c>
      <c r="N24">
        <f ca="1">DATEDIF(G24, TODAY(), "Y")</f>
        <v>36</v>
      </c>
      <c r="O24" s="2">
        <f>AVERAGE(All_Dept[[#This Row],[PER 2019]],All_Dept[[#This Row],[PER 2020]])</f>
        <v>0.73499999999999999</v>
      </c>
      <c r="P24" s="5">
        <f>All_Dept[[#This Row],[PER 2020]]-All_Dept[[#This Row],[PER 2019]]</f>
        <v>-0.25</v>
      </c>
    </row>
    <row r="25" spans="1:16" x14ac:dyDescent="0.3">
      <c r="A25">
        <v>60</v>
      </c>
      <c r="B25" s="4">
        <v>26430</v>
      </c>
      <c r="C25" t="s">
        <v>38</v>
      </c>
      <c r="D25" t="s">
        <v>17</v>
      </c>
      <c r="E25" t="s">
        <v>85</v>
      </c>
      <c r="F25" s="1">
        <v>41951</v>
      </c>
      <c r="G25" s="1">
        <v>25803</v>
      </c>
      <c r="H25" t="s">
        <v>18</v>
      </c>
      <c r="I25">
        <v>20603</v>
      </c>
      <c r="J25" s="3">
        <v>0.88</v>
      </c>
      <c r="K25" s="3">
        <v>0.76</v>
      </c>
      <c r="L25" t="s">
        <v>15</v>
      </c>
      <c r="M25" s="13">
        <f ca="1">DATEDIF(F25, TODAY(), "Y")</f>
        <v>10</v>
      </c>
      <c r="N25">
        <f ca="1">DATEDIF(G25, TODAY(), "Y")</f>
        <v>54</v>
      </c>
      <c r="O25" s="2">
        <f>AVERAGE(All_Dept[[#This Row],[PER 2019]],All_Dept[[#This Row],[PER 2020]])</f>
        <v>0.82000000000000006</v>
      </c>
      <c r="P25" s="5">
        <f>All_Dept[[#This Row],[PER 2020]]-All_Dept[[#This Row],[PER 2019]]</f>
        <v>-0.12</v>
      </c>
    </row>
    <row r="26" spans="1:16" x14ac:dyDescent="0.3">
      <c r="A26">
        <v>72</v>
      </c>
      <c r="B26" s="4">
        <v>26991</v>
      </c>
      <c r="C26" t="s">
        <v>32</v>
      </c>
      <c r="D26" t="s">
        <v>17</v>
      </c>
      <c r="E26" t="s">
        <v>48</v>
      </c>
      <c r="F26" s="1">
        <v>40952</v>
      </c>
      <c r="G26" s="1">
        <v>29256</v>
      </c>
      <c r="H26" t="s">
        <v>18</v>
      </c>
      <c r="I26">
        <v>18091</v>
      </c>
      <c r="J26" s="3">
        <v>0.84</v>
      </c>
      <c r="K26" s="3">
        <v>0.91</v>
      </c>
      <c r="L26" t="s">
        <v>15</v>
      </c>
      <c r="M26" s="13">
        <f ca="1">DATEDIF(F26, TODAY(), "Y")</f>
        <v>13</v>
      </c>
      <c r="N26">
        <f ca="1">DATEDIF(G26, TODAY(), "Y")</f>
        <v>45</v>
      </c>
      <c r="O26" s="2">
        <f>AVERAGE(All_Dept[[#This Row],[PER 2019]],All_Dept[[#This Row],[PER 2020]])</f>
        <v>0.875</v>
      </c>
      <c r="P26" s="5">
        <f>All_Dept[[#This Row],[PER 2020]]-All_Dept[[#This Row],[PER 2019]]</f>
        <v>7.0000000000000062E-2</v>
      </c>
    </row>
    <row r="27" spans="1:16" x14ac:dyDescent="0.3">
      <c r="A27">
        <v>73</v>
      </c>
      <c r="B27" s="4">
        <v>27618</v>
      </c>
      <c r="C27" t="s">
        <v>33</v>
      </c>
      <c r="D27" t="s">
        <v>17</v>
      </c>
      <c r="E27" t="s">
        <v>48</v>
      </c>
      <c r="F27" s="1">
        <v>42036</v>
      </c>
      <c r="G27" s="1">
        <v>26362</v>
      </c>
      <c r="H27" t="s">
        <v>18</v>
      </c>
      <c r="I27">
        <v>21390</v>
      </c>
      <c r="J27" s="3">
        <v>0.76</v>
      </c>
      <c r="K27" s="3">
        <v>0.89</v>
      </c>
      <c r="L27" t="s">
        <v>15</v>
      </c>
      <c r="M27" s="13">
        <f ca="1">DATEDIF(F27, TODAY(), "Y")</f>
        <v>10</v>
      </c>
      <c r="N27">
        <f ca="1">DATEDIF(G27, TODAY(), "Y")</f>
        <v>53</v>
      </c>
      <c r="O27" s="2">
        <f>AVERAGE(All_Dept[[#This Row],[PER 2019]],All_Dept[[#This Row],[PER 2020]])</f>
        <v>0.82499999999999996</v>
      </c>
      <c r="P27" s="5">
        <f>All_Dept[[#This Row],[PER 2020]]-All_Dept[[#This Row],[PER 2019]]</f>
        <v>0.13</v>
      </c>
    </row>
    <row r="28" spans="1:16" x14ac:dyDescent="0.3">
      <c r="A28">
        <v>78</v>
      </c>
      <c r="B28" s="4">
        <v>28166</v>
      </c>
      <c r="C28" t="s">
        <v>39</v>
      </c>
      <c r="D28" t="s">
        <v>17</v>
      </c>
      <c r="E28" t="s">
        <v>85</v>
      </c>
      <c r="F28" s="1">
        <v>42476</v>
      </c>
      <c r="G28" s="1">
        <v>30536</v>
      </c>
      <c r="H28" t="s">
        <v>18</v>
      </c>
      <c r="I28">
        <v>13943</v>
      </c>
      <c r="J28" s="3">
        <v>0.78</v>
      </c>
      <c r="K28" s="3">
        <v>0.78</v>
      </c>
      <c r="L28" t="s">
        <v>15</v>
      </c>
      <c r="M28" s="13">
        <f ca="1">DATEDIF(F28, TODAY(), "Y")</f>
        <v>9</v>
      </c>
      <c r="N28">
        <f ca="1">DATEDIF(G28, TODAY(), "Y")</f>
        <v>41</v>
      </c>
      <c r="O28" s="2">
        <f>AVERAGE(All_Dept[[#This Row],[PER 2019]],All_Dept[[#This Row],[PER 2020]])</f>
        <v>0.78</v>
      </c>
      <c r="P28" s="5">
        <f>All_Dept[[#This Row],[PER 2020]]-All_Dept[[#This Row],[PER 2019]]</f>
        <v>0</v>
      </c>
    </row>
    <row r="29" spans="1:16" x14ac:dyDescent="0.3">
      <c r="A29">
        <v>79</v>
      </c>
      <c r="B29" s="4">
        <v>27004</v>
      </c>
      <c r="C29" t="s">
        <v>40</v>
      </c>
      <c r="D29" t="s">
        <v>17</v>
      </c>
      <c r="E29" t="s">
        <v>85</v>
      </c>
      <c r="F29" s="1">
        <v>35217</v>
      </c>
      <c r="G29" s="1">
        <v>28157</v>
      </c>
      <c r="H29" t="s">
        <v>18</v>
      </c>
      <c r="I29">
        <v>9011</v>
      </c>
      <c r="J29" s="3">
        <v>0.79</v>
      </c>
      <c r="K29" s="3">
        <v>0.46</v>
      </c>
      <c r="L29" t="s">
        <v>15</v>
      </c>
      <c r="M29" s="13">
        <f ca="1">DATEDIF(F29, TODAY(), "Y")</f>
        <v>29</v>
      </c>
      <c r="N29">
        <f ca="1">DATEDIF(G29, TODAY(), "Y")</f>
        <v>48</v>
      </c>
      <c r="O29" s="2">
        <f>AVERAGE(All_Dept[[#This Row],[PER 2019]],All_Dept[[#This Row],[PER 2020]])</f>
        <v>0.625</v>
      </c>
      <c r="P29" s="5">
        <f>All_Dept[[#This Row],[PER 2020]]-All_Dept[[#This Row],[PER 2019]]</f>
        <v>-0.33</v>
      </c>
    </row>
    <row r="30" spans="1:16" x14ac:dyDescent="0.3">
      <c r="A30">
        <v>80</v>
      </c>
      <c r="B30" s="4">
        <v>27649</v>
      </c>
      <c r="C30" t="s">
        <v>16</v>
      </c>
      <c r="D30" t="s">
        <v>17</v>
      </c>
      <c r="E30" t="s">
        <v>85</v>
      </c>
      <c r="F30" s="1">
        <v>35389</v>
      </c>
      <c r="G30" s="1">
        <v>28970</v>
      </c>
      <c r="H30" t="s">
        <v>18</v>
      </c>
      <c r="I30">
        <v>5390</v>
      </c>
      <c r="J30" s="3">
        <v>0.81</v>
      </c>
      <c r="K30" s="3">
        <v>0.4</v>
      </c>
      <c r="L30" t="s">
        <v>15</v>
      </c>
      <c r="M30" s="13">
        <f ca="1">DATEDIF(F30, TODAY(), "Y")</f>
        <v>28</v>
      </c>
      <c r="N30">
        <f ca="1">DATEDIF(G30, TODAY(), "Y")</f>
        <v>46</v>
      </c>
      <c r="O30" s="2">
        <f>AVERAGE(All_Dept[[#This Row],[PER 2019]],All_Dept[[#This Row],[PER 2020]])</f>
        <v>0.60499999999999998</v>
      </c>
      <c r="P30" s="5">
        <f>All_Dept[[#This Row],[PER 2020]]-All_Dept[[#This Row],[PER 2019]]</f>
        <v>-0.41000000000000003</v>
      </c>
    </row>
    <row r="31" spans="1:16" x14ac:dyDescent="0.3">
      <c r="A31">
        <v>81</v>
      </c>
      <c r="B31" s="4">
        <v>26998</v>
      </c>
      <c r="C31" t="s">
        <v>19</v>
      </c>
      <c r="D31" t="s">
        <v>17</v>
      </c>
      <c r="E31" t="s">
        <v>85</v>
      </c>
      <c r="F31" s="1">
        <v>35966</v>
      </c>
      <c r="G31" s="1">
        <v>27774</v>
      </c>
      <c r="H31" t="s">
        <v>18</v>
      </c>
      <c r="I31">
        <v>19015</v>
      </c>
      <c r="J31" s="3">
        <v>0.84</v>
      </c>
      <c r="K31" s="3">
        <v>0.65</v>
      </c>
      <c r="L31" t="s">
        <v>15</v>
      </c>
      <c r="M31" s="13">
        <f ca="1">DATEDIF(F31, TODAY(), "Y")</f>
        <v>27</v>
      </c>
      <c r="N31">
        <f ca="1">DATEDIF(G31, TODAY(), "Y")</f>
        <v>49</v>
      </c>
      <c r="O31" s="2">
        <f>AVERAGE(All_Dept[[#This Row],[PER 2019]],All_Dept[[#This Row],[PER 2020]])</f>
        <v>0.745</v>
      </c>
      <c r="P31" s="5">
        <f>All_Dept[[#This Row],[PER 2020]]-All_Dept[[#This Row],[PER 2019]]</f>
        <v>-0.18999999999999995</v>
      </c>
    </row>
    <row r="32" spans="1:16" x14ac:dyDescent="0.3">
      <c r="A32">
        <v>82</v>
      </c>
      <c r="B32" s="4">
        <v>31455</v>
      </c>
      <c r="C32" t="s">
        <v>41</v>
      </c>
      <c r="D32" t="s">
        <v>17</v>
      </c>
      <c r="E32" t="s">
        <v>24</v>
      </c>
      <c r="F32" s="1">
        <v>36904</v>
      </c>
      <c r="G32" s="1">
        <v>29124</v>
      </c>
      <c r="H32" t="s">
        <v>18</v>
      </c>
      <c r="I32">
        <v>8138</v>
      </c>
      <c r="J32" s="3">
        <v>0.82</v>
      </c>
      <c r="K32" s="3">
        <v>0.83</v>
      </c>
      <c r="L32" t="s">
        <v>15</v>
      </c>
      <c r="M32" s="13">
        <f ca="1">DATEDIF(F32, TODAY(), "Y")</f>
        <v>24</v>
      </c>
      <c r="N32">
        <f ca="1">DATEDIF(G32, TODAY(), "Y")</f>
        <v>45</v>
      </c>
      <c r="O32" s="2">
        <f>AVERAGE(All_Dept[[#This Row],[PER 2019]],All_Dept[[#This Row],[PER 2020]])</f>
        <v>0.82499999999999996</v>
      </c>
      <c r="P32" s="5">
        <f>All_Dept[[#This Row],[PER 2020]]-All_Dept[[#This Row],[PER 2019]]</f>
        <v>1.0000000000000009E-2</v>
      </c>
    </row>
    <row r="33" spans="1:16" x14ac:dyDescent="0.3">
      <c r="A33">
        <v>89</v>
      </c>
      <c r="B33" s="4">
        <v>26425</v>
      </c>
      <c r="C33" t="s">
        <v>23</v>
      </c>
      <c r="D33" t="s">
        <v>17</v>
      </c>
      <c r="E33" t="s">
        <v>24</v>
      </c>
      <c r="F33" s="1">
        <v>41191</v>
      </c>
      <c r="G33" s="1">
        <v>26439</v>
      </c>
      <c r="H33" t="s">
        <v>18</v>
      </c>
      <c r="I33">
        <v>5061</v>
      </c>
      <c r="J33" s="3">
        <v>0.75</v>
      </c>
      <c r="K33" s="3">
        <v>0.67</v>
      </c>
      <c r="L33" t="s">
        <v>15</v>
      </c>
      <c r="M33" s="13">
        <f ca="1">DATEDIF(F33, TODAY(), "Y")</f>
        <v>12</v>
      </c>
      <c r="N33">
        <f ca="1">DATEDIF(G33, TODAY(), "Y")</f>
        <v>53</v>
      </c>
      <c r="O33" s="2">
        <f>AVERAGE(All_Dept[[#This Row],[PER 2019]],All_Dept[[#This Row],[PER 2020]])</f>
        <v>0.71</v>
      </c>
      <c r="P33" s="5">
        <f>All_Dept[[#This Row],[PER 2020]]-All_Dept[[#This Row],[PER 2019]]</f>
        <v>-7.999999999999996E-2</v>
      </c>
    </row>
    <row r="34" spans="1:16" x14ac:dyDescent="0.3">
      <c r="A34">
        <v>90</v>
      </c>
      <c r="B34" s="4">
        <v>26421</v>
      </c>
      <c r="C34" t="s">
        <v>25</v>
      </c>
      <c r="D34" t="s">
        <v>17</v>
      </c>
      <c r="E34" t="s">
        <v>48</v>
      </c>
      <c r="F34" s="1">
        <v>41378</v>
      </c>
      <c r="G34" s="1">
        <v>26992</v>
      </c>
      <c r="H34" t="s">
        <v>18</v>
      </c>
      <c r="I34">
        <v>8005</v>
      </c>
      <c r="J34" s="3">
        <v>0.85</v>
      </c>
      <c r="K34" s="3">
        <v>0.75</v>
      </c>
      <c r="L34" t="s">
        <v>15</v>
      </c>
      <c r="M34" s="13">
        <f ca="1">DATEDIF(F34, TODAY(), "Y")</f>
        <v>12</v>
      </c>
      <c r="N34">
        <f ca="1">DATEDIF(G34, TODAY(), "Y")</f>
        <v>51</v>
      </c>
      <c r="O34" s="2">
        <f>AVERAGE(All_Dept[[#This Row],[PER 2019]],All_Dept[[#This Row],[PER 2020]])</f>
        <v>0.8</v>
      </c>
      <c r="P34" s="5">
        <f>All_Dept[[#This Row],[PER 2020]]-All_Dept[[#This Row],[PER 2019]]</f>
        <v>-9.9999999999999978E-2</v>
      </c>
    </row>
    <row r="35" spans="1:16" x14ac:dyDescent="0.3">
      <c r="A35">
        <v>91</v>
      </c>
      <c r="B35" s="4">
        <v>26419</v>
      </c>
      <c r="C35" t="s">
        <v>26</v>
      </c>
      <c r="D35" t="s">
        <v>17</v>
      </c>
      <c r="E35" t="s">
        <v>85</v>
      </c>
      <c r="F35" s="1">
        <v>41594</v>
      </c>
      <c r="G35" s="1">
        <v>25655</v>
      </c>
      <c r="H35" t="s">
        <v>18</v>
      </c>
      <c r="I35">
        <v>7002</v>
      </c>
      <c r="J35" s="3">
        <v>0.87</v>
      </c>
      <c r="K35" s="3">
        <v>0.6</v>
      </c>
      <c r="L35" t="s">
        <v>15</v>
      </c>
      <c r="M35" s="13">
        <f ca="1">DATEDIF(F35, TODAY(), "Y")</f>
        <v>11</v>
      </c>
      <c r="N35">
        <f ca="1">DATEDIF(G35, TODAY(), "Y")</f>
        <v>55</v>
      </c>
      <c r="O35" s="2">
        <f>AVERAGE(All_Dept[[#This Row],[PER 2019]],All_Dept[[#This Row],[PER 2020]])</f>
        <v>0.73499999999999999</v>
      </c>
      <c r="P35" s="5">
        <f>All_Dept[[#This Row],[PER 2020]]-All_Dept[[#This Row],[PER 2019]]</f>
        <v>-0.27</v>
      </c>
    </row>
    <row r="36" spans="1:16" x14ac:dyDescent="0.3">
      <c r="A36">
        <v>92</v>
      </c>
      <c r="B36" s="4">
        <v>28927</v>
      </c>
      <c r="C36" t="s">
        <v>27</v>
      </c>
      <c r="D36" t="s">
        <v>17</v>
      </c>
      <c r="E36" t="s">
        <v>48</v>
      </c>
      <c r="F36" s="1">
        <v>41730</v>
      </c>
      <c r="G36" s="1">
        <v>25254</v>
      </c>
      <c r="H36" t="s">
        <v>18</v>
      </c>
      <c r="I36">
        <v>23284</v>
      </c>
      <c r="J36" s="3">
        <v>0.75</v>
      </c>
      <c r="K36" s="3">
        <v>0.84</v>
      </c>
      <c r="L36" t="s">
        <v>15</v>
      </c>
      <c r="M36" s="13">
        <f ca="1">DATEDIF(F36, TODAY(), "Y")</f>
        <v>11</v>
      </c>
      <c r="N36">
        <f ca="1">DATEDIF(G36, TODAY(), "Y")</f>
        <v>56</v>
      </c>
      <c r="O36" s="2">
        <f>AVERAGE(All_Dept[[#This Row],[PER 2019]],All_Dept[[#This Row],[PER 2020]])</f>
        <v>0.79499999999999993</v>
      </c>
      <c r="P36" s="5">
        <f>All_Dept[[#This Row],[PER 2020]]-All_Dept[[#This Row],[PER 2019]]</f>
        <v>8.9999999999999969E-2</v>
      </c>
    </row>
    <row r="37" spans="1:16" x14ac:dyDescent="0.3">
      <c r="A37">
        <v>93</v>
      </c>
      <c r="B37" s="4">
        <v>26748</v>
      </c>
      <c r="C37" t="s">
        <v>28</v>
      </c>
      <c r="D37" t="s">
        <v>17</v>
      </c>
      <c r="E37" t="s">
        <v>48</v>
      </c>
      <c r="F37" s="1">
        <v>41771</v>
      </c>
      <c r="G37" s="1">
        <v>29985</v>
      </c>
      <c r="H37" t="s">
        <v>18</v>
      </c>
      <c r="I37">
        <v>20019</v>
      </c>
      <c r="J37" s="3">
        <v>0.89</v>
      </c>
      <c r="K37" s="3">
        <v>0.78</v>
      </c>
      <c r="L37" t="s">
        <v>15</v>
      </c>
      <c r="M37" s="13">
        <f ca="1">DATEDIF(F37, TODAY(), "Y")</f>
        <v>11</v>
      </c>
      <c r="N37">
        <f ca="1">DATEDIF(G37, TODAY(), "Y")</f>
        <v>43</v>
      </c>
      <c r="O37" s="2">
        <f>AVERAGE(All_Dept[[#This Row],[PER 2019]],All_Dept[[#This Row],[PER 2020]])</f>
        <v>0.83499999999999996</v>
      </c>
      <c r="P37" s="5">
        <f>All_Dept[[#This Row],[PER 2020]]-All_Dept[[#This Row],[PER 2019]]</f>
        <v>-0.10999999999999999</v>
      </c>
    </row>
    <row r="38" spans="1:16" x14ac:dyDescent="0.3">
      <c r="A38">
        <v>94</v>
      </c>
      <c r="B38" s="4">
        <v>27494</v>
      </c>
      <c r="C38" t="s">
        <v>38</v>
      </c>
      <c r="D38" t="s">
        <v>17</v>
      </c>
      <c r="E38" t="s">
        <v>85</v>
      </c>
      <c r="F38" s="1">
        <v>41771</v>
      </c>
      <c r="G38" s="1">
        <v>28792</v>
      </c>
      <c r="H38" t="s">
        <v>18</v>
      </c>
      <c r="I38">
        <v>11645</v>
      </c>
      <c r="J38" s="3">
        <v>0.8</v>
      </c>
      <c r="K38" s="3">
        <v>0.62</v>
      </c>
      <c r="L38" t="s">
        <v>15</v>
      </c>
      <c r="M38" s="13">
        <f ca="1">DATEDIF(F38, TODAY(), "Y")</f>
        <v>11</v>
      </c>
      <c r="N38">
        <f ca="1">DATEDIF(G38, TODAY(), "Y")</f>
        <v>46</v>
      </c>
      <c r="O38" s="2">
        <f>AVERAGE(All_Dept[[#This Row],[PER 2019]],All_Dept[[#This Row],[PER 2020]])</f>
        <v>0.71</v>
      </c>
      <c r="P38" s="5">
        <f>All_Dept[[#This Row],[PER 2020]]-All_Dept[[#This Row],[PER 2019]]</f>
        <v>-0.18000000000000005</v>
      </c>
    </row>
    <row r="39" spans="1:16" x14ac:dyDescent="0.3">
      <c r="A39">
        <v>2</v>
      </c>
      <c r="B39" s="4">
        <v>28127</v>
      </c>
      <c r="C39" t="s">
        <v>42</v>
      </c>
      <c r="D39" t="s">
        <v>43</v>
      </c>
      <c r="E39" t="s">
        <v>85</v>
      </c>
      <c r="F39" s="1">
        <v>40919</v>
      </c>
      <c r="G39" s="1">
        <v>23989</v>
      </c>
      <c r="H39" t="s">
        <v>44</v>
      </c>
      <c r="I39">
        <v>21575</v>
      </c>
      <c r="J39" s="3">
        <v>0.86</v>
      </c>
      <c r="K39" s="3">
        <v>0.87</v>
      </c>
      <c r="L39" t="s">
        <v>45</v>
      </c>
      <c r="M39" s="13">
        <f ca="1">DATEDIF(F39, TODAY(), "Y")</f>
        <v>13</v>
      </c>
      <c r="N39">
        <f ca="1">DATEDIF(G39, TODAY(), "Y")</f>
        <v>59</v>
      </c>
      <c r="O39" s="2">
        <f>AVERAGE(All_Dept[[#This Row],[PER 2019]],All_Dept[[#This Row],[PER 2020]])</f>
        <v>0.86499999999999999</v>
      </c>
      <c r="P39" s="5">
        <f>All_Dept[[#This Row],[PER 2020]]-All_Dept[[#This Row],[PER 2019]]</f>
        <v>1.0000000000000009E-2</v>
      </c>
    </row>
    <row r="40" spans="1:16" x14ac:dyDescent="0.3">
      <c r="A40">
        <v>14</v>
      </c>
      <c r="B40" s="4">
        <v>26422</v>
      </c>
      <c r="C40" t="s">
        <v>46</v>
      </c>
      <c r="D40" t="s">
        <v>47</v>
      </c>
      <c r="E40" t="s">
        <v>48</v>
      </c>
      <c r="F40" s="1">
        <v>38398</v>
      </c>
      <c r="G40" s="1">
        <v>23333</v>
      </c>
      <c r="H40" t="s">
        <v>14</v>
      </c>
      <c r="I40">
        <v>19023</v>
      </c>
      <c r="J40" s="3">
        <v>0.78</v>
      </c>
      <c r="K40" s="3">
        <v>0.89</v>
      </c>
      <c r="L40" t="s">
        <v>45</v>
      </c>
      <c r="M40" s="13">
        <f ca="1">DATEDIF(F40, TODAY(), "Y")</f>
        <v>20</v>
      </c>
      <c r="N40">
        <f ca="1">DATEDIF(G40, TODAY(), "Y")</f>
        <v>61</v>
      </c>
      <c r="O40" s="2">
        <f>AVERAGE(All_Dept[[#This Row],[PER 2019]],All_Dept[[#This Row],[PER 2020]])</f>
        <v>0.83499999999999996</v>
      </c>
      <c r="P40" s="5">
        <f>All_Dept[[#This Row],[PER 2020]]-All_Dept[[#This Row],[PER 2019]]</f>
        <v>0.10999999999999999</v>
      </c>
    </row>
    <row r="41" spans="1:16" x14ac:dyDescent="0.3">
      <c r="A41">
        <v>15</v>
      </c>
      <c r="B41" s="4">
        <v>26414</v>
      </c>
      <c r="C41" t="s">
        <v>37</v>
      </c>
      <c r="D41" t="s">
        <v>49</v>
      </c>
      <c r="E41" t="s">
        <v>85</v>
      </c>
      <c r="F41" s="1">
        <v>40292</v>
      </c>
      <c r="G41" s="1">
        <v>26435</v>
      </c>
      <c r="H41" t="s">
        <v>14</v>
      </c>
      <c r="I41">
        <v>12801</v>
      </c>
      <c r="J41" s="3">
        <v>0.75</v>
      </c>
      <c r="K41" s="3">
        <v>0.76</v>
      </c>
      <c r="L41" t="s">
        <v>45</v>
      </c>
      <c r="M41" s="13">
        <f ca="1">DATEDIF(F41, TODAY(), "Y")</f>
        <v>15</v>
      </c>
      <c r="N41">
        <f ca="1">DATEDIF(G41, TODAY(), "Y")</f>
        <v>53</v>
      </c>
      <c r="O41" s="2">
        <f>AVERAGE(All_Dept[[#This Row],[PER 2019]],All_Dept[[#This Row],[PER 2020]])</f>
        <v>0.755</v>
      </c>
      <c r="P41" s="5">
        <f>All_Dept[[#This Row],[PER 2020]]-All_Dept[[#This Row],[PER 2019]]</f>
        <v>1.0000000000000009E-2</v>
      </c>
    </row>
    <row r="42" spans="1:16" x14ac:dyDescent="0.3">
      <c r="A42">
        <v>24</v>
      </c>
      <c r="B42" s="4">
        <v>30352</v>
      </c>
      <c r="C42" t="s">
        <v>50</v>
      </c>
      <c r="D42" t="s">
        <v>49</v>
      </c>
      <c r="E42" t="s">
        <v>48</v>
      </c>
      <c r="F42" s="1">
        <v>42483</v>
      </c>
      <c r="G42" s="1">
        <v>25924</v>
      </c>
      <c r="H42" t="s">
        <v>14</v>
      </c>
      <c r="I42">
        <v>16742</v>
      </c>
      <c r="J42" s="3">
        <v>0.87</v>
      </c>
      <c r="K42" s="3">
        <v>0.87</v>
      </c>
      <c r="L42" t="s">
        <v>45</v>
      </c>
      <c r="M42" s="13">
        <f ca="1">DATEDIF(F42, TODAY(), "Y")</f>
        <v>9</v>
      </c>
      <c r="N42">
        <f ca="1">DATEDIF(G42, TODAY(), "Y")</f>
        <v>54</v>
      </c>
      <c r="O42" s="2">
        <f>AVERAGE(All_Dept[[#This Row],[PER 2019]],All_Dept[[#This Row],[PER 2020]])</f>
        <v>0.87</v>
      </c>
      <c r="P42" s="5">
        <f>All_Dept[[#This Row],[PER 2020]]-All_Dept[[#This Row],[PER 2019]]</f>
        <v>0</v>
      </c>
    </row>
    <row r="43" spans="1:16" x14ac:dyDescent="0.3">
      <c r="A43">
        <v>25</v>
      </c>
      <c r="B43" s="4">
        <v>26726</v>
      </c>
      <c r="C43" t="s">
        <v>38</v>
      </c>
      <c r="D43" t="s">
        <v>49</v>
      </c>
      <c r="E43" t="s">
        <v>48</v>
      </c>
      <c r="F43" s="1">
        <v>42490</v>
      </c>
      <c r="G43" s="1">
        <v>30587</v>
      </c>
      <c r="H43" t="s">
        <v>14</v>
      </c>
      <c r="I43">
        <v>15635</v>
      </c>
      <c r="J43" s="3">
        <v>0.84</v>
      </c>
      <c r="K43" s="3">
        <v>0.84</v>
      </c>
      <c r="L43" t="s">
        <v>45</v>
      </c>
      <c r="M43" s="13">
        <f ca="1">DATEDIF(F43, TODAY(), "Y")</f>
        <v>9</v>
      </c>
      <c r="N43">
        <f ca="1">DATEDIF(G43, TODAY(), "Y")</f>
        <v>41</v>
      </c>
      <c r="O43" s="2">
        <f>AVERAGE(All_Dept[[#This Row],[PER 2019]],All_Dept[[#This Row],[PER 2020]])</f>
        <v>0.84</v>
      </c>
      <c r="P43" s="5">
        <f>All_Dept[[#This Row],[PER 2020]]-All_Dept[[#This Row],[PER 2019]]</f>
        <v>0</v>
      </c>
    </row>
    <row r="44" spans="1:16" x14ac:dyDescent="0.3">
      <c r="A44">
        <v>35</v>
      </c>
      <c r="B44" s="4">
        <v>26431</v>
      </c>
      <c r="C44" t="s">
        <v>51</v>
      </c>
      <c r="D44" t="s">
        <v>47</v>
      </c>
      <c r="E44" t="s">
        <v>85</v>
      </c>
      <c r="F44" s="1">
        <v>42833</v>
      </c>
      <c r="G44" s="1">
        <v>30733</v>
      </c>
      <c r="H44" t="s">
        <v>14</v>
      </c>
      <c r="I44">
        <v>20897</v>
      </c>
      <c r="J44" s="3">
        <v>0.83</v>
      </c>
      <c r="K44" s="3">
        <v>0.67</v>
      </c>
      <c r="L44" t="s">
        <v>45</v>
      </c>
      <c r="M44" s="13">
        <f ca="1">DATEDIF(F44, TODAY(), "Y")</f>
        <v>8</v>
      </c>
      <c r="N44">
        <f ca="1">DATEDIF(G44, TODAY(), "Y")</f>
        <v>41</v>
      </c>
      <c r="O44" s="2">
        <f>AVERAGE(All_Dept[[#This Row],[PER 2019]],All_Dept[[#This Row],[PER 2020]])</f>
        <v>0.75</v>
      </c>
      <c r="P44" s="5">
        <f>All_Dept[[#This Row],[PER 2020]]-All_Dept[[#This Row],[PER 2019]]</f>
        <v>-0.15999999999999992</v>
      </c>
    </row>
    <row r="45" spans="1:16" x14ac:dyDescent="0.3">
      <c r="A45">
        <v>36</v>
      </c>
      <c r="B45" s="4">
        <v>26396</v>
      </c>
      <c r="C45" t="s">
        <v>52</v>
      </c>
      <c r="D45" t="s">
        <v>49</v>
      </c>
      <c r="E45" t="s">
        <v>24</v>
      </c>
      <c r="F45" s="1">
        <v>41527</v>
      </c>
      <c r="G45" s="1">
        <v>27607</v>
      </c>
      <c r="H45" t="s">
        <v>14</v>
      </c>
      <c r="I45">
        <v>15730</v>
      </c>
      <c r="J45" s="3">
        <v>0.86</v>
      </c>
      <c r="K45" s="3">
        <v>0.53</v>
      </c>
      <c r="L45" t="s">
        <v>45</v>
      </c>
      <c r="M45" s="13">
        <f ca="1">DATEDIF(F45, TODAY(), "Y")</f>
        <v>11</v>
      </c>
      <c r="N45">
        <f ca="1">DATEDIF(G45, TODAY(), "Y")</f>
        <v>49</v>
      </c>
      <c r="O45" s="2">
        <f>AVERAGE(All_Dept[[#This Row],[PER 2019]],All_Dept[[#This Row],[PER 2020]])</f>
        <v>0.69500000000000006</v>
      </c>
      <c r="P45" s="5">
        <f>All_Dept[[#This Row],[PER 2020]]-All_Dept[[#This Row],[PER 2019]]</f>
        <v>-0.32999999999999996</v>
      </c>
    </row>
    <row r="46" spans="1:16" x14ac:dyDescent="0.3">
      <c r="A46">
        <v>44</v>
      </c>
      <c r="B46" s="4">
        <v>26445</v>
      </c>
      <c r="C46" t="s">
        <v>39</v>
      </c>
      <c r="D46" t="s">
        <v>49</v>
      </c>
      <c r="E46" t="s">
        <v>85</v>
      </c>
      <c r="F46" s="1">
        <v>39671</v>
      </c>
      <c r="G46" s="1">
        <v>25496</v>
      </c>
      <c r="H46" t="s">
        <v>14</v>
      </c>
      <c r="I46">
        <v>16861</v>
      </c>
      <c r="J46" s="3">
        <v>0.87</v>
      </c>
      <c r="K46" s="3">
        <v>0.52</v>
      </c>
      <c r="L46" t="s">
        <v>45</v>
      </c>
      <c r="M46" s="13">
        <f ca="1">DATEDIF(F46, TODAY(), "Y")</f>
        <v>16</v>
      </c>
      <c r="N46">
        <f ca="1">DATEDIF(G46, TODAY(), "Y")</f>
        <v>55</v>
      </c>
      <c r="O46" s="2">
        <f>AVERAGE(All_Dept[[#This Row],[PER 2019]],All_Dept[[#This Row],[PER 2020]])</f>
        <v>0.69500000000000006</v>
      </c>
      <c r="P46" s="5">
        <f>All_Dept[[#This Row],[PER 2020]]-All_Dept[[#This Row],[PER 2019]]</f>
        <v>-0.35</v>
      </c>
    </row>
    <row r="47" spans="1:16" x14ac:dyDescent="0.3">
      <c r="A47">
        <v>45</v>
      </c>
      <c r="B47" s="4">
        <v>26400</v>
      </c>
      <c r="C47" t="s">
        <v>40</v>
      </c>
      <c r="D47" t="s">
        <v>49</v>
      </c>
      <c r="E47" t="s">
        <v>48</v>
      </c>
      <c r="F47" s="1">
        <v>42084</v>
      </c>
      <c r="G47" s="1">
        <v>25856</v>
      </c>
      <c r="H47" t="s">
        <v>14</v>
      </c>
      <c r="I47">
        <v>5067</v>
      </c>
      <c r="J47" s="3">
        <v>0.86</v>
      </c>
      <c r="K47" s="3">
        <v>0.94</v>
      </c>
      <c r="L47" t="s">
        <v>45</v>
      </c>
      <c r="M47" s="13">
        <f ca="1">DATEDIF(F47, TODAY(), "Y")</f>
        <v>10</v>
      </c>
      <c r="N47">
        <f ca="1">DATEDIF(G47, TODAY(), "Y")</f>
        <v>54</v>
      </c>
      <c r="O47" s="2">
        <f>AVERAGE(All_Dept[[#This Row],[PER 2019]],All_Dept[[#This Row],[PER 2020]])</f>
        <v>0.89999999999999991</v>
      </c>
      <c r="P47" s="5">
        <f>All_Dept[[#This Row],[PER 2020]]-All_Dept[[#This Row],[PER 2019]]</f>
        <v>7.999999999999996E-2</v>
      </c>
    </row>
    <row r="48" spans="1:16" x14ac:dyDescent="0.3">
      <c r="A48">
        <v>53</v>
      </c>
      <c r="B48" s="4">
        <v>26443</v>
      </c>
      <c r="C48" t="s">
        <v>21</v>
      </c>
      <c r="D48" t="s">
        <v>49</v>
      </c>
      <c r="E48" t="s">
        <v>85</v>
      </c>
      <c r="F48" s="1">
        <v>39641</v>
      </c>
      <c r="G48" s="1">
        <v>25608</v>
      </c>
      <c r="H48" t="s">
        <v>14</v>
      </c>
      <c r="I48">
        <v>12903</v>
      </c>
      <c r="J48" s="3">
        <v>0.77</v>
      </c>
      <c r="K48" s="3">
        <v>0.75</v>
      </c>
      <c r="L48" t="s">
        <v>45</v>
      </c>
      <c r="M48" s="13">
        <f ca="1">DATEDIF(F48, TODAY(), "Y")</f>
        <v>16</v>
      </c>
      <c r="N48">
        <f ca="1">DATEDIF(G48, TODAY(), "Y")</f>
        <v>55</v>
      </c>
      <c r="O48" s="2">
        <f>AVERAGE(All_Dept[[#This Row],[PER 2019]],All_Dept[[#This Row],[PER 2020]])</f>
        <v>0.76</v>
      </c>
      <c r="P48" s="5">
        <f>All_Dept[[#This Row],[PER 2020]]-All_Dept[[#This Row],[PER 2019]]</f>
        <v>-2.0000000000000018E-2</v>
      </c>
    </row>
    <row r="49" spans="1:16" x14ac:dyDescent="0.3">
      <c r="A49">
        <v>63</v>
      </c>
      <c r="B49" s="4">
        <v>26610</v>
      </c>
      <c r="C49" t="s">
        <v>53</v>
      </c>
      <c r="D49" t="s">
        <v>47</v>
      </c>
      <c r="E49" t="s">
        <v>48</v>
      </c>
      <c r="F49" s="1">
        <v>43121</v>
      </c>
      <c r="G49" s="1">
        <v>27200</v>
      </c>
      <c r="H49" t="s">
        <v>14</v>
      </c>
      <c r="I49">
        <v>4388</v>
      </c>
      <c r="J49" s="3">
        <v>0.86</v>
      </c>
      <c r="K49" s="3">
        <v>0.47</v>
      </c>
      <c r="L49" t="s">
        <v>45</v>
      </c>
      <c r="M49" s="13">
        <f ca="1">DATEDIF(F49, TODAY(), "Y")</f>
        <v>7</v>
      </c>
      <c r="N49">
        <f ca="1">DATEDIF(G49, TODAY(), "Y")</f>
        <v>51</v>
      </c>
      <c r="O49" s="2">
        <f>AVERAGE(All_Dept[[#This Row],[PER 2019]],All_Dept[[#This Row],[PER 2020]])</f>
        <v>0.66500000000000004</v>
      </c>
      <c r="P49" s="5">
        <f>All_Dept[[#This Row],[PER 2020]]-All_Dept[[#This Row],[PER 2019]]</f>
        <v>-0.39</v>
      </c>
    </row>
    <row r="50" spans="1:16" x14ac:dyDescent="0.3">
      <c r="A50">
        <v>64</v>
      </c>
      <c r="B50" s="4">
        <v>26404</v>
      </c>
      <c r="C50" t="s">
        <v>54</v>
      </c>
      <c r="D50" t="s">
        <v>49</v>
      </c>
      <c r="E50" t="s">
        <v>48</v>
      </c>
      <c r="F50" s="1">
        <v>43463</v>
      </c>
      <c r="G50" s="1">
        <v>27167</v>
      </c>
      <c r="H50" t="s">
        <v>14</v>
      </c>
      <c r="I50">
        <v>15454</v>
      </c>
      <c r="J50" s="3">
        <v>0.87</v>
      </c>
      <c r="K50" s="3">
        <v>0.94</v>
      </c>
      <c r="L50" t="s">
        <v>45</v>
      </c>
      <c r="M50" s="13">
        <f ca="1">DATEDIF(F50, TODAY(), "Y")</f>
        <v>6</v>
      </c>
      <c r="N50">
        <f ca="1">DATEDIF(G50, TODAY(), "Y")</f>
        <v>51</v>
      </c>
      <c r="O50" s="2">
        <f>AVERAGE(All_Dept[[#This Row],[PER 2019]],All_Dept[[#This Row],[PER 2020]])</f>
        <v>0.90500000000000003</v>
      </c>
      <c r="P50" s="5">
        <f>All_Dept[[#This Row],[PER 2020]]-All_Dept[[#This Row],[PER 2019]]</f>
        <v>6.9999999999999951E-2</v>
      </c>
    </row>
    <row r="51" spans="1:16" x14ac:dyDescent="0.3">
      <c r="A51">
        <v>65</v>
      </c>
      <c r="B51" s="4">
        <v>26402</v>
      </c>
      <c r="C51" t="s">
        <v>55</v>
      </c>
      <c r="D51" t="s">
        <v>49</v>
      </c>
      <c r="E51" t="s">
        <v>85</v>
      </c>
      <c r="F51" s="1">
        <v>37676</v>
      </c>
      <c r="G51" s="1">
        <v>25124</v>
      </c>
      <c r="H51" t="s">
        <v>14</v>
      </c>
      <c r="I51">
        <v>24472</v>
      </c>
      <c r="J51" s="3">
        <v>0.84</v>
      </c>
      <c r="K51" s="3">
        <v>0.52</v>
      </c>
      <c r="L51" t="s">
        <v>45</v>
      </c>
      <c r="M51" s="13">
        <f ca="1">DATEDIF(F51, TODAY(), "Y")</f>
        <v>22</v>
      </c>
      <c r="N51">
        <f ca="1">DATEDIF(G51, TODAY(), "Y")</f>
        <v>56</v>
      </c>
      <c r="O51" s="2">
        <f>AVERAGE(All_Dept[[#This Row],[PER 2019]],All_Dept[[#This Row],[PER 2020]])</f>
        <v>0.67999999999999994</v>
      </c>
      <c r="P51" s="5">
        <f>All_Dept[[#This Row],[PER 2020]]-All_Dept[[#This Row],[PER 2019]]</f>
        <v>-0.31999999999999995</v>
      </c>
    </row>
    <row r="52" spans="1:16" x14ac:dyDescent="0.3">
      <c r="A52">
        <v>66</v>
      </c>
      <c r="B52" s="4">
        <v>26427</v>
      </c>
      <c r="C52" t="s">
        <v>29</v>
      </c>
      <c r="D52" t="s">
        <v>49</v>
      </c>
      <c r="E52" t="s">
        <v>85</v>
      </c>
      <c r="F52" s="1">
        <v>37817</v>
      </c>
      <c r="G52" s="1">
        <v>23708</v>
      </c>
      <c r="H52" t="s">
        <v>14</v>
      </c>
      <c r="I52">
        <v>15992</v>
      </c>
      <c r="J52" s="3">
        <v>0.82</v>
      </c>
      <c r="K52" s="3">
        <v>0.91</v>
      </c>
      <c r="L52" t="s">
        <v>45</v>
      </c>
      <c r="M52" s="13">
        <f ca="1">DATEDIF(F52, TODAY(), "Y")</f>
        <v>21</v>
      </c>
      <c r="N52">
        <f ca="1">DATEDIF(G52, TODAY(), "Y")</f>
        <v>60</v>
      </c>
      <c r="O52" s="2">
        <f>AVERAGE(All_Dept[[#This Row],[PER 2019]],All_Dept[[#This Row],[PER 2020]])</f>
        <v>0.86499999999999999</v>
      </c>
      <c r="P52" s="5">
        <f>All_Dept[[#This Row],[PER 2020]]-All_Dept[[#This Row],[PER 2019]]</f>
        <v>9.000000000000008E-2</v>
      </c>
    </row>
    <row r="53" spans="1:16" x14ac:dyDescent="0.3">
      <c r="A53">
        <v>76</v>
      </c>
      <c r="B53" s="4">
        <v>26999</v>
      </c>
      <c r="C53" t="s">
        <v>12</v>
      </c>
      <c r="D53" t="s">
        <v>47</v>
      </c>
      <c r="E53" t="s">
        <v>85</v>
      </c>
      <c r="F53" s="1">
        <v>42515</v>
      </c>
      <c r="G53" s="1">
        <v>24332</v>
      </c>
      <c r="H53" t="s">
        <v>14</v>
      </c>
      <c r="I53">
        <v>21183</v>
      </c>
      <c r="J53" s="3">
        <v>0.85</v>
      </c>
      <c r="K53" s="3">
        <v>0.66</v>
      </c>
      <c r="L53" t="s">
        <v>45</v>
      </c>
      <c r="M53" s="13">
        <f ca="1">DATEDIF(F53, TODAY(), "Y")</f>
        <v>9</v>
      </c>
      <c r="N53">
        <f ca="1">DATEDIF(G53, TODAY(), "Y")</f>
        <v>58</v>
      </c>
      <c r="O53" s="2">
        <f>AVERAGE(All_Dept[[#This Row],[PER 2019]],All_Dept[[#This Row],[PER 2020]])</f>
        <v>0.755</v>
      </c>
      <c r="P53" s="5">
        <f>All_Dept[[#This Row],[PER 2020]]-All_Dept[[#This Row],[PER 2019]]</f>
        <v>-0.18999999999999995</v>
      </c>
    </row>
    <row r="54" spans="1:16" x14ac:dyDescent="0.3">
      <c r="A54">
        <v>77</v>
      </c>
      <c r="B54" s="4">
        <v>28929</v>
      </c>
      <c r="C54" t="s">
        <v>36</v>
      </c>
      <c r="D54" t="s">
        <v>49</v>
      </c>
      <c r="E54" t="s">
        <v>85</v>
      </c>
      <c r="F54" s="1">
        <v>41783</v>
      </c>
      <c r="G54" s="1">
        <v>25532</v>
      </c>
      <c r="H54" t="s">
        <v>14</v>
      </c>
      <c r="I54">
        <v>22459</v>
      </c>
      <c r="J54" s="3">
        <v>0.86</v>
      </c>
      <c r="K54" s="3">
        <v>0.43</v>
      </c>
      <c r="L54" t="s">
        <v>45</v>
      </c>
      <c r="M54" s="13">
        <f ca="1">DATEDIF(F54, TODAY(), "Y")</f>
        <v>11</v>
      </c>
      <c r="N54">
        <f ca="1">DATEDIF(G54, TODAY(), "Y")</f>
        <v>55</v>
      </c>
      <c r="O54" s="2">
        <f>AVERAGE(All_Dept[[#This Row],[PER 2019]],All_Dept[[#This Row],[PER 2020]])</f>
        <v>0.64500000000000002</v>
      </c>
      <c r="P54" s="5">
        <f>All_Dept[[#This Row],[PER 2020]]-All_Dept[[#This Row],[PER 2019]]</f>
        <v>-0.43</v>
      </c>
    </row>
    <row r="55" spans="1:16" x14ac:dyDescent="0.3">
      <c r="A55">
        <v>87</v>
      </c>
      <c r="B55" s="4">
        <v>26447</v>
      </c>
      <c r="C55" t="s">
        <v>21</v>
      </c>
      <c r="D55" t="s">
        <v>47</v>
      </c>
      <c r="E55" t="s">
        <v>48</v>
      </c>
      <c r="F55" s="1">
        <v>39669</v>
      </c>
      <c r="G55" s="1">
        <v>29342</v>
      </c>
      <c r="H55" t="s">
        <v>14</v>
      </c>
      <c r="I55">
        <v>2227</v>
      </c>
      <c r="J55" s="3">
        <v>0.8</v>
      </c>
      <c r="K55" s="3">
        <v>0.59</v>
      </c>
      <c r="L55" t="s">
        <v>45</v>
      </c>
      <c r="M55" s="13">
        <f ca="1">DATEDIF(F55, TODAY(), "Y")</f>
        <v>16</v>
      </c>
      <c r="N55">
        <f ca="1">DATEDIF(G55, TODAY(), "Y")</f>
        <v>45</v>
      </c>
      <c r="O55" s="2">
        <f>AVERAGE(All_Dept[[#This Row],[PER 2019]],All_Dept[[#This Row],[PER 2020]])</f>
        <v>0.69500000000000006</v>
      </c>
      <c r="P55" s="5">
        <f>All_Dept[[#This Row],[PER 2020]]-All_Dept[[#This Row],[PER 2019]]</f>
        <v>-0.21000000000000008</v>
      </c>
    </row>
    <row r="56" spans="1:16" x14ac:dyDescent="0.3">
      <c r="A56">
        <v>88</v>
      </c>
      <c r="B56" s="4">
        <v>28227</v>
      </c>
      <c r="C56" t="s">
        <v>22</v>
      </c>
      <c r="D56" t="s">
        <v>49</v>
      </c>
      <c r="E56" t="s">
        <v>48</v>
      </c>
      <c r="F56" s="1">
        <v>39767</v>
      </c>
      <c r="G56" s="1">
        <v>26395</v>
      </c>
      <c r="H56" t="s">
        <v>14</v>
      </c>
      <c r="I56">
        <v>1673</v>
      </c>
      <c r="J56" s="3">
        <v>0.78</v>
      </c>
      <c r="K56" s="3">
        <v>0.78</v>
      </c>
      <c r="L56" t="s">
        <v>45</v>
      </c>
      <c r="M56" s="13">
        <f ca="1">DATEDIF(F56, TODAY(), "Y")</f>
        <v>16</v>
      </c>
      <c r="N56">
        <f ca="1">DATEDIF(G56, TODAY(), "Y")</f>
        <v>53</v>
      </c>
      <c r="O56" s="2">
        <f>AVERAGE(All_Dept[[#This Row],[PER 2019]],All_Dept[[#This Row],[PER 2020]])</f>
        <v>0.78</v>
      </c>
      <c r="P56" s="5">
        <f>All_Dept[[#This Row],[PER 2020]]-All_Dept[[#This Row],[PER 2019]]</f>
        <v>0</v>
      </c>
    </row>
    <row r="57" spans="1:16" x14ac:dyDescent="0.3">
      <c r="A57">
        <v>3</v>
      </c>
      <c r="B57" s="4">
        <v>26446</v>
      </c>
      <c r="C57" t="s">
        <v>34</v>
      </c>
      <c r="D57" t="s">
        <v>56</v>
      </c>
      <c r="E57" t="s">
        <v>24</v>
      </c>
      <c r="F57" s="1">
        <v>41498</v>
      </c>
      <c r="G57" s="1">
        <v>29990</v>
      </c>
      <c r="H57" t="s">
        <v>44</v>
      </c>
      <c r="I57">
        <v>25000</v>
      </c>
      <c r="J57" s="3">
        <v>0.8</v>
      </c>
      <c r="K57" s="3">
        <v>0.9</v>
      </c>
      <c r="L57" t="s">
        <v>57</v>
      </c>
      <c r="M57" s="13">
        <f ca="1">DATEDIF(F57, TODAY(), "Y")</f>
        <v>11</v>
      </c>
      <c r="N57">
        <f ca="1">DATEDIF(G57, TODAY(), "Y")</f>
        <v>43</v>
      </c>
      <c r="O57" s="2">
        <f>AVERAGE(All_Dept[[#This Row],[PER 2019]],All_Dept[[#This Row],[PER 2020]])</f>
        <v>0.85000000000000009</v>
      </c>
      <c r="P57" s="5">
        <f>All_Dept[[#This Row],[PER 2020]]-All_Dept[[#This Row],[PER 2019]]</f>
        <v>9.9999999999999978E-2</v>
      </c>
    </row>
    <row r="58" spans="1:16" x14ac:dyDescent="0.3">
      <c r="A58">
        <v>9</v>
      </c>
      <c r="B58" s="4">
        <v>26412</v>
      </c>
      <c r="C58" t="s">
        <v>40</v>
      </c>
      <c r="D58" t="s">
        <v>58</v>
      </c>
      <c r="E58" t="s">
        <v>85</v>
      </c>
      <c r="F58" s="1">
        <v>39767</v>
      </c>
      <c r="G58" s="1">
        <v>30733</v>
      </c>
      <c r="H58" t="s">
        <v>14</v>
      </c>
      <c r="I58">
        <v>11492</v>
      </c>
      <c r="J58" s="3">
        <v>0.81</v>
      </c>
      <c r="K58" s="3">
        <v>0.77</v>
      </c>
      <c r="L58" t="s">
        <v>57</v>
      </c>
      <c r="M58" s="13">
        <f ca="1">DATEDIF(F58, TODAY(), "Y")</f>
        <v>16</v>
      </c>
      <c r="N58">
        <f ca="1">DATEDIF(G58, TODAY(), "Y")</f>
        <v>41</v>
      </c>
      <c r="O58" s="2">
        <f>AVERAGE(All_Dept[[#This Row],[PER 2019]],All_Dept[[#This Row],[PER 2020]])</f>
        <v>0.79</v>
      </c>
      <c r="P58" s="5">
        <f>All_Dept[[#This Row],[PER 2020]]-All_Dept[[#This Row],[PER 2019]]</f>
        <v>-4.0000000000000036E-2</v>
      </c>
    </row>
    <row r="59" spans="1:16" x14ac:dyDescent="0.3">
      <c r="A59">
        <v>30</v>
      </c>
      <c r="B59" s="4">
        <v>25905</v>
      </c>
      <c r="C59" t="s">
        <v>55</v>
      </c>
      <c r="D59" t="s">
        <v>58</v>
      </c>
      <c r="E59" t="s">
        <v>48</v>
      </c>
      <c r="F59" s="1">
        <v>41749</v>
      </c>
      <c r="G59" s="1">
        <v>23688</v>
      </c>
      <c r="H59" t="s">
        <v>14</v>
      </c>
      <c r="I59">
        <v>5578</v>
      </c>
      <c r="J59" s="3">
        <v>0.76</v>
      </c>
      <c r="K59" s="3">
        <v>0.97</v>
      </c>
      <c r="L59" t="s">
        <v>57</v>
      </c>
      <c r="M59" s="13">
        <f ca="1">DATEDIF(F59, TODAY(), "Y")</f>
        <v>11</v>
      </c>
      <c r="N59">
        <f ca="1">DATEDIF(G59, TODAY(), "Y")</f>
        <v>60</v>
      </c>
      <c r="O59" s="2">
        <f>AVERAGE(All_Dept[[#This Row],[PER 2019]],All_Dept[[#This Row],[PER 2020]])</f>
        <v>0.86499999999999999</v>
      </c>
      <c r="P59" s="5">
        <f>All_Dept[[#This Row],[PER 2020]]-All_Dept[[#This Row],[PER 2019]]</f>
        <v>0.20999999999999996</v>
      </c>
    </row>
    <row r="60" spans="1:16" x14ac:dyDescent="0.3">
      <c r="A60">
        <v>50</v>
      </c>
      <c r="B60" s="4">
        <v>30350</v>
      </c>
      <c r="C60" t="s">
        <v>46</v>
      </c>
      <c r="D60" t="s">
        <v>58</v>
      </c>
      <c r="E60" t="s">
        <v>85</v>
      </c>
      <c r="F60" s="1">
        <v>37817</v>
      </c>
      <c r="G60" s="1">
        <v>25539</v>
      </c>
      <c r="H60" t="s">
        <v>14</v>
      </c>
      <c r="I60">
        <v>6348</v>
      </c>
      <c r="J60" s="3">
        <v>0.76</v>
      </c>
      <c r="K60" s="3">
        <v>0.69</v>
      </c>
      <c r="L60" t="s">
        <v>57</v>
      </c>
      <c r="M60" s="13">
        <f ca="1">DATEDIF(F60, TODAY(), "Y")</f>
        <v>21</v>
      </c>
      <c r="N60">
        <f ca="1">DATEDIF(G60, TODAY(), "Y")</f>
        <v>55</v>
      </c>
      <c r="O60" s="2">
        <f>AVERAGE(All_Dept[[#This Row],[PER 2019]],All_Dept[[#This Row],[PER 2020]])</f>
        <v>0.72499999999999998</v>
      </c>
      <c r="P60" s="5">
        <f>All_Dept[[#This Row],[PER 2020]]-All_Dept[[#This Row],[PER 2019]]</f>
        <v>-7.0000000000000062E-2</v>
      </c>
    </row>
    <row r="61" spans="1:16" x14ac:dyDescent="0.3">
      <c r="A61">
        <v>58</v>
      </c>
      <c r="B61" s="4">
        <v>30349</v>
      </c>
      <c r="C61" t="s">
        <v>27</v>
      </c>
      <c r="D61" t="s">
        <v>58</v>
      </c>
      <c r="E61" t="s">
        <v>24</v>
      </c>
      <c r="F61" s="1">
        <v>42598</v>
      </c>
      <c r="G61" s="1">
        <v>25876</v>
      </c>
      <c r="H61" t="s">
        <v>14</v>
      </c>
      <c r="I61">
        <v>1952</v>
      </c>
      <c r="J61" s="3">
        <v>0.83</v>
      </c>
      <c r="K61" s="3">
        <v>0.76</v>
      </c>
      <c r="L61" t="s">
        <v>57</v>
      </c>
      <c r="M61" s="13">
        <f ca="1">DATEDIF(F61, TODAY(), "Y")</f>
        <v>8</v>
      </c>
      <c r="N61">
        <f ca="1">DATEDIF(G61, TODAY(), "Y")</f>
        <v>54</v>
      </c>
      <c r="O61" s="2">
        <f>AVERAGE(All_Dept[[#This Row],[PER 2019]],All_Dept[[#This Row],[PER 2020]])</f>
        <v>0.79499999999999993</v>
      </c>
      <c r="P61" s="5">
        <f>All_Dept[[#This Row],[PER 2020]]-All_Dept[[#This Row],[PER 2019]]</f>
        <v>-6.9999999999999951E-2</v>
      </c>
    </row>
    <row r="62" spans="1:16" x14ac:dyDescent="0.3">
      <c r="A62">
        <v>71</v>
      </c>
      <c r="B62" s="4">
        <v>30460</v>
      </c>
      <c r="C62" t="s">
        <v>31</v>
      </c>
      <c r="D62" t="s">
        <v>58</v>
      </c>
      <c r="E62" t="s">
        <v>85</v>
      </c>
      <c r="F62" s="1">
        <v>40680</v>
      </c>
      <c r="G62" s="1">
        <v>28100</v>
      </c>
      <c r="H62" t="s">
        <v>14</v>
      </c>
      <c r="I62">
        <v>18214</v>
      </c>
      <c r="J62" s="3">
        <v>0.78</v>
      </c>
      <c r="K62" s="3">
        <v>0.64</v>
      </c>
      <c r="L62" t="s">
        <v>57</v>
      </c>
      <c r="M62" s="13">
        <f ca="1">DATEDIF(F62, TODAY(), "Y")</f>
        <v>14</v>
      </c>
      <c r="N62">
        <f ca="1">DATEDIF(G62, TODAY(), "Y")</f>
        <v>48</v>
      </c>
      <c r="O62" s="2">
        <f>AVERAGE(All_Dept[[#This Row],[PER 2019]],All_Dept[[#This Row],[PER 2020]])</f>
        <v>0.71</v>
      </c>
      <c r="P62" s="5">
        <f>All_Dept[[#This Row],[PER 2020]]-All_Dept[[#This Row],[PER 2019]]</f>
        <v>-0.14000000000000001</v>
      </c>
    </row>
    <row r="63" spans="1:16" x14ac:dyDescent="0.3">
      <c r="A63">
        <v>1</v>
      </c>
      <c r="B63" s="4">
        <v>26434</v>
      </c>
      <c r="C63" t="s">
        <v>33</v>
      </c>
      <c r="D63" t="s">
        <v>59</v>
      </c>
      <c r="E63" t="s">
        <v>85</v>
      </c>
      <c r="F63" s="1">
        <v>39036</v>
      </c>
      <c r="G63" s="1">
        <v>29537</v>
      </c>
      <c r="H63" t="s">
        <v>14</v>
      </c>
      <c r="I63">
        <v>20500</v>
      </c>
      <c r="J63" s="3">
        <v>0.82</v>
      </c>
      <c r="K63" s="3">
        <v>0.86</v>
      </c>
      <c r="L63" t="s">
        <v>60</v>
      </c>
      <c r="M63" s="13">
        <f ca="1">DATEDIF(F63, TODAY(), "Y")</f>
        <v>18</v>
      </c>
      <c r="N63">
        <f ca="1">DATEDIF(G63, TODAY(), "Y")</f>
        <v>44</v>
      </c>
      <c r="O63" s="2">
        <f>AVERAGE(All_Dept[[#This Row],[PER 2019]],All_Dept[[#This Row],[PER 2020]])</f>
        <v>0.84</v>
      </c>
      <c r="P63" s="5">
        <f>All_Dept[[#This Row],[PER 2020]]-All_Dept[[#This Row],[PER 2019]]</f>
        <v>4.0000000000000036E-2</v>
      </c>
    </row>
    <row r="64" spans="1:16" x14ac:dyDescent="0.3">
      <c r="A64">
        <v>6</v>
      </c>
      <c r="B64" s="4">
        <v>27154</v>
      </c>
      <c r="C64" t="s">
        <v>36</v>
      </c>
      <c r="D64" t="s">
        <v>61</v>
      </c>
      <c r="E64" t="s">
        <v>85</v>
      </c>
      <c r="F64" s="1">
        <v>37121</v>
      </c>
      <c r="G64" s="1">
        <v>24296</v>
      </c>
      <c r="H64" t="s">
        <v>14</v>
      </c>
      <c r="I64">
        <v>17233</v>
      </c>
      <c r="J64" s="3">
        <v>0.89</v>
      </c>
      <c r="K64" s="3">
        <v>0.41</v>
      </c>
      <c r="L64" t="s">
        <v>60</v>
      </c>
      <c r="M64" s="13">
        <f ca="1">DATEDIF(F64, TODAY(), "Y")</f>
        <v>23</v>
      </c>
      <c r="N64">
        <f ca="1">DATEDIF(G64, TODAY(), "Y")</f>
        <v>58</v>
      </c>
      <c r="O64" s="2">
        <f>AVERAGE(All_Dept[[#This Row],[PER 2019]],All_Dept[[#This Row],[PER 2020]])</f>
        <v>0.65</v>
      </c>
      <c r="P64" s="5">
        <f>All_Dept[[#This Row],[PER 2020]]-All_Dept[[#This Row],[PER 2019]]</f>
        <v>-0.48000000000000004</v>
      </c>
    </row>
    <row r="65" spans="1:16" x14ac:dyDescent="0.3">
      <c r="A65">
        <v>7</v>
      </c>
      <c r="B65" s="4">
        <v>27008</v>
      </c>
      <c r="C65" t="s">
        <v>62</v>
      </c>
      <c r="D65" t="s">
        <v>63</v>
      </c>
      <c r="E65" t="s">
        <v>24</v>
      </c>
      <c r="F65" s="1">
        <v>37758</v>
      </c>
      <c r="G65" s="1">
        <v>30195</v>
      </c>
      <c r="H65" t="s">
        <v>14</v>
      </c>
      <c r="I65">
        <v>19987</v>
      </c>
      <c r="J65" s="3">
        <v>0.76</v>
      </c>
      <c r="K65" s="3">
        <v>0.55000000000000004</v>
      </c>
      <c r="L65" t="s">
        <v>60</v>
      </c>
      <c r="M65" s="13">
        <f ca="1">DATEDIF(F65, TODAY(), "Y")</f>
        <v>22</v>
      </c>
      <c r="N65">
        <f ca="1">DATEDIF(G65, TODAY(), "Y")</f>
        <v>42</v>
      </c>
      <c r="O65" s="2">
        <f>AVERAGE(All_Dept[[#This Row],[PER 2019]],All_Dept[[#This Row],[PER 2020]])</f>
        <v>0.65500000000000003</v>
      </c>
      <c r="P65" s="5">
        <f>All_Dept[[#This Row],[PER 2020]]-All_Dept[[#This Row],[PER 2019]]</f>
        <v>-0.20999999999999996</v>
      </c>
    </row>
    <row r="66" spans="1:16" x14ac:dyDescent="0.3">
      <c r="A66">
        <v>8</v>
      </c>
      <c r="B66" s="4">
        <v>27621</v>
      </c>
      <c r="C66" t="s">
        <v>39</v>
      </c>
      <c r="D66" t="s">
        <v>64</v>
      </c>
      <c r="E66" t="s">
        <v>48</v>
      </c>
      <c r="F66" s="1">
        <v>39600</v>
      </c>
      <c r="G66" s="1">
        <v>29625</v>
      </c>
      <c r="H66" t="s">
        <v>14</v>
      </c>
      <c r="I66">
        <v>23537</v>
      </c>
      <c r="J66" s="3">
        <v>0.87</v>
      </c>
      <c r="K66" s="3">
        <v>0.69</v>
      </c>
      <c r="L66" t="s">
        <v>60</v>
      </c>
      <c r="M66" s="13">
        <f ca="1">DATEDIF(F66, TODAY(), "Y")</f>
        <v>17</v>
      </c>
      <c r="N66">
        <f ca="1">DATEDIF(G66, TODAY(), "Y")</f>
        <v>44</v>
      </c>
      <c r="O66" s="2">
        <f>AVERAGE(All_Dept[[#This Row],[PER 2019]],All_Dept[[#This Row],[PER 2020]])</f>
        <v>0.78</v>
      </c>
      <c r="P66" s="5">
        <f>All_Dept[[#This Row],[PER 2020]]-All_Dept[[#This Row],[PER 2019]]</f>
        <v>-0.18000000000000005</v>
      </c>
    </row>
    <row r="67" spans="1:16" x14ac:dyDescent="0.3">
      <c r="A67">
        <v>26</v>
      </c>
      <c r="B67" s="4">
        <v>27374</v>
      </c>
      <c r="C67" t="s">
        <v>65</v>
      </c>
      <c r="D67" t="s">
        <v>63</v>
      </c>
      <c r="E67" t="s">
        <v>85</v>
      </c>
      <c r="F67" s="1">
        <v>42491</v>
      </c>
      <c r="G67" s="1">
        <v>27603</v>
      </c>
      <c r="H67" t="s">
        <v>14</v>
      </c>
      <c r="I67">
        <v>7935</v>
      </c>
      <c r="J67" s="3">
        <v>0.83</v>
      </c>
      <c r="K67" s="3">
        <v>0.41</v>
      </c>
      <c r="L67" t="s">
        <v>60</v>
      </c>
      <c r="M67" s="13">
        <f ca="1">DATEDIF(F67, TODAY(), "Y")</f>
        <v>9</v>
      </c>
      <c r="N67">
        <f ca="1">DATEDIF(G67, TODAY(), "Y")</f>
        <v>49</v>
      </c>
      <c r="O67" s="2">
        <f>AVERAGE(All_Dept[[#This Row],[PER 2019]],All_Dept[[#This Row],[PER 2020]])</f>
        <v>0.62</v>
      </c>
      <c r="P67" s="5">
        <f>All_Dept[[#This Row],[PER 2020]]-All_Dept[[#This Row],[PER 2019]]</f>
        <v>-0.42</v>
      </c>
    </row>
    <row r="68" spans="1:16" x14ac:dyDescent="0.3">
      <c r="A68">
        <v>27</v>
      </c>
      <c r="B68" s="4">
        <v>29368</v>
      </c>
      <c r="C68" t="s">
        <v>66</v>
      </c>
      <c r="D68" t="s">
        <v>61</v>
      </c>
      <c r="E68" t="s">
        <v>24</v>
      </c>
      <c r="F68" s="1">
        <v>42515</v>
      </c>
      <c r="G68" s="1">
        <v>26982</v>
      </c>
      <c r="H68" t="s">
        <v>14</v>
      </c>
      <c r="I68">
        <v>20121</v>
      </c>
      <c r="J68" s="3">
        <v>0.8</v>
      </c>
      <c r="K68" s="3">
        <v>0.64</v>
      </c>
      <c r="L68" t="s">
        <v>60</v>
      </c>
      <c r="M68" s="13">
        <f ca="1">DATEDIF(F68, TODAY(), "Y")</f>
        <v>9</v>
      </c>
      <c r="N68">
        <f ca="1">DATEDIF(G68, TODAY(), "Y")</f>
        <v>51</v>
      </c>
      <c r="O68" s="2">
        <f>AVERAGE(All_Dept[[#This Row],[PER 2019]],All_Dept[[#This Row],[PER 2020]])</f>
        <v>0.72</v>
      </c>
      <c r="P68" s="5">
        <f>All_Dept[[#This Row],[PER 2020]]-All_Dept[[#This Row],[PER 2019]]</f>
        <v>-0.16000000000000003</v>
      </c>
    </row>
    <row r="69" spans="1:16" x14ac:dyDescent="0.3">
      <c r="A69">
        <v>28</v>
      </c>
      <c r="B69" s="4">
        <v>27092</v>
      </c>
      <c r="C69" t="s">
        <v>53</v>
      </c>
      <c r="D69" t="s">
        <v>63</v>
      </c>
      <c r="E69" t="s">
        <v>85</v>
      </c>
      <c r="F69" s="1">
        <v>42597</v>
      </c>
      <c r="G69" s="1">
        <v>29688</v>
      </c>
      <c r="H69" t="s">
        <v>14</v>
      </c>
      <c r="I69">
        <v>16408</v>
      </c>
      <c r="J69" s="3">
        <v>0.76</v>
      </c>
      <c r="K69" s="3">
        <v>0.91</v>
      </c>
      <c r="L69" t="s">
        <v>60</v>
      </c>
      <c r="M69" s="13">
        <f ca="1">DATEDIF(F69, TODAY(), "Y")</f>
        <v>8</v>
      </c>
      <c r="N69">
        <f ca="1">DATEDIF(G69, TODAY(), "Y")</f>
        <v>44</v>
      </c>
      <c r="O69" s="2">
        <f>AVERAGE(All_Dept[[#This Row],[PER 2019]],All_Dept[[#This Row],[PER 2020]])</f>
        <v>0.83499999999999996</v>
      </c>
      <c r="P69" s="5">
        <f>All_Dept[[#This Row],[PER 2020]]-All_Dept[[#This Row],[PER 2019]]</f>
        <v>0.15000000000000002</v>
      </c>
    </row>
    <row r="70" spans="1:16" x14ac:dyDescent="0.3">
      <c r="A70">
        <v>29</v>
      </c>
      <c r="B70" s="4">
        <v>26429</v>
      </c>
      <c r="C70" t="s">
        <v>54</v>
      </c>
      <c r="D70" t="s">
        <v>64</v>
      </c>
      <c r="E70" t="s">
        <v>24</v>
      </c>
      <c r="F70" s="1">
        <v>35029</v>
      </c>
      <c r="G70" s="1">
        <v>30178</v>
      </c>
      <c r="H70" t="s">
        <v>14</v>
      </c>
      <c r="I70">
        <v>2323</v>
      </c>
      <c r="J70" s="3">
        <v>0.83</v>
      </c>
      <c r="K70" s="3">
        <v>0.75</v>
      </c>
      <c r="L70" t="s">
        <v>60</v>
      </c>
      <c r="M70" s="13">
        <f ca="1">DATEDIF(F70, TODAY(), "Y")</f>
        <v>29</v>
      </c>
      <c r="N70">
        <f ca="1">DATEDIF(G70, TODAY(), "Y")</f>
        <v>42</v>
      </c>
      <c r="O70" s="2">
        <f>AVERAGE(All_Dept[[#This Row],[PER 2019]],All_Dept[[#This Row],[PER 2020]])</f>
        <v>0.79</v>
      </c>
      <c r="P70" s="5">
        <f>All_Dept[[#This Row],[PER 2020]]-All_Dept[[#This Row],[PER 2019]]</f>
        <v>-7.999999999999996E-2</v>
      </c>
    </row>
    <row r="71" spans="1:16" x14ac:dyDescent="0.3">
      <c r="A71">
        <v>46</v>
      </c>
      <c r="B71" s="4">
        <v>26994</v>
      </c>
      <c r="C71" t="s">
        <v>16</v>
      </c>
      <c r="D71" t="s">
        <v>63</v>
      </c>
      <c r="E71" t="s">
        <v>85</v>
      </c>
      <c r="F71" s="1">
        <v>35855</v>
      </c>
      <c r="G71" s="1">
        <v>24091</v>
      </c>
      <c r="H71" t="s">
        <v>14</v>
      </c>
      <c r="I71">
        <v>6553</v>
      </c>
      <c r="J71" s="3">
        <v>0.75</v>
      </c>
      <c r="K71" s="3">
        <v>0.75</v>
      </c>
      <c r="L71" t="s">
        <v>60</v>
      </c>
      <c r="M71" s="13">
        <f ca="1">DATEDIF(F71, TODAY(), "Y")</f>
        <v>27</v>
      </c>
      <c r="N71">
        <f ca="1">DATEDIF(G71, TODAY(), "Y")</f>
        <v>59</v>
      </c>
      <c r="O71" s="2">
        <f>AVERAGE(All_Dept[[#This Row],[PER 2019]],All_Dept[[#This Row],[PER 2020]])</f>
        <v>0.75</v>
      </c>
      <c r="P71" s="5">
        <f>All_Dept[[#This Row],[PER 2020]]-All_Dept[[#This Row],[PER 2019]]</f>
        <v>0</v>
      </c>
    </row>
    <row r="72" spans="1:16" x14ac:dyDescent="0.3">
      <c r="A72">
        <v>47</v>
      </c>
      <c r="B72" s="4">
        <v>27007</v>
      </c>
      <c r="C72" t="s">
        <v>19</v>
      </c>
      <c r="D72" t="s">
        <v>61</v>
      </c>
      <c r="E72" t="s">
        <v>85</v>
      </c>
      <c r="F72" s="1">
        <v>36544</v>
      </c>
      <c r="G72" s="1">
        <v>28423</v>
      </c>
      <c r="H72" t="s">
        <v>14</v>
      </c>
      <c r="I72">
        <v>13054</v>
      </c>
      <c r="J72" s="3">
        <v>0.82</v>
      </c>
      <c r="K72" s="3">
        <v>0.48</v>
      </c>
      <c r="L72" t="s">
        <v>60</v>
      </c>
      <c r="M72" s="13">
        <f ca="1">DATEDIF(F72, TODAY(), "Y")</f>
        <v>25</v>
      </c>
      <c r="N72">
        <f ca="1">DATEDIF(G72, TODAY(), "Y")</f>
        <v>47</v>
      </c>
      <c r="O72" s="2">
        <f>AVERAGE(All_Dept[[#This Row],[PER 2019]],All_Dept[[#This Row],[PER 2020]])</f>
        <v>0.64999999999999991</v>
      </c>
      <c r="P72" s="5">
        <f>All_Dept[[#This Row],[PER 2020]]-All_Dept[[#This Row],[PER 2019]]</f>
        <v>-0.33999999999999997</v>
      </c>
    </row>
    <row r="73" spans="1:16" x14ac:dyDescent="0.3">
      <c r="A73">
        <v>48</v>
      </c>
      <c r="B73" s="4">
        <v>26424</v>
      </c>
      <c r="C73" t="s">
        <v>41</v>
      </c>
      <c r="D73" t="s">
        <v>63</v>
      </c>
      <c r="E73" t="s">
        <v>85</v>
      </c>
      <c r="F73" s="1">
        <v>37118</v>
      </c>
      <c r="G73" s="1">
        <v>27130</v>
      </c>
      <c r="H73" t="s">
        <v>14</v>
      </c>
      <c r="I73">
        <v>20909</v>
      </c>
      <c r="J73" s="3">
        <v>0.88</v>
      </c>
      <c r="K73" s="3">
        <v>0.46</v>
      </c>
      <c r="L73" t="s">
        <v>60</v>
      </c>
      <c r="M73" s="13">
        <f ca="1">DATEDIF(F73, TODAY(), "Y")</f>
        <v>23</v>
      </c>
      <c r="N73">
        <f ca="1">DATEDIF(G73, TODAY(), "Y")</f>
        <v>51</v>
      </c>
      <c r="O73" s="2">
        <f>AVERAGE(All_Dept[[#This Row],[PER 2019]],All_Dept[[#This Row],[PER 2020]])</f>
        <v>0.67</v>
      </c>
      <c r="P73" s="5">
        <f>All_Dept[[#This Row],[PER 2020]]-All_Dept[[#This Row],[PER 2019]]</f>
        <v>-0.42</v>
      </c>
    </row>
    <row r="74" spans="1:16" x14ac:dyDescent="0.3">
      <c r="A74">
        <v>49</v>
      </c>
      <c r="B74" s="4">
        <v>26415</v>
      </c>
      <c r="C74" t="s">
        <v>67</v>
      </c>
      <c r="D74" t="s">
        <v>64</v>
      </c>
      <c r="E74" t="s">
        <v>24</v>
      </c>
      <c r="F74" s="1">
        <v>37460</v>
      </c>
      <c r="G74" s="1">
        <v>25427</v>
      </c>
      <c r="H74" t="s">
        <v>14</v>
      </c>
      <c r="I74">
        <v>23771</v>
      </c>
      <c r="J74" s="3">
        <v>0.88</v>
      </c>
      <c r="K74" s="3">
        <v>0.63</v>
      </c>
      <c r="L74" t="s">
        <v>60</v>
      </c>
      <c r="M74" s="13">
        <f ca="1">DATEDIF(F74, TODAY(), "Y")</f>
        <v>22</v>
      </c>
      <c r="N74">
        <f ca="1">DATEDIF(G74, TODAY(), "Y")</f>
        <v>55</v>
      </c>
      <c r="O74" s="2">
        <f>AVERAGE(All_Dept[[#This Row],[PER 2019]],All_Dept[[#This Row],[PER 2020]])</f>
        <v>0.755</v>
      </c>
      <c r="P74" s="5">
        <f>All_Dept[[#This Row],[PER 2020]]-All_Dept[[#This Row],[PER 2019]]</f>
        <v>-0.25</v>
      </c>
    </row>
    <row r="75" spans="1:16" x14ac:dyDescent="0.3">
      <c r="A75">
        <v>54</v>
      </c>
      <c r="B75" s="4">
        <v>27143</v>
      </c>
      <c r="C75" t="s">
        <v>22</v>
      </c>
      <c r="D75" t="s">
        <v>63</v>
      </c>
      <c r="E75" t="s">
        <v>85</v>
      </c>
      <c r="F75" s="1">
        <v>41748</v>
      </c>
      <c r="G75" s="1">
        <v>25434</v>
      </c>
      <c r="H75" t="s">
        <v>14</v>
      </c>
      <c r="I75">
        <v>8529</v>
      </c>
      <c r="J75" s="3">
        <v>0.83</v>
      </c>
      <c r="K75" s="3">
        <v>0.77</v>
      </c>
      <c r="L75" t="s">
        <v>60</v>
      </c>
      <c r="M75" s="13">
        <f ca="1">DATEDIF(F75, TODAY(), "Y")</f>
        <v>11</v>
      </c>
      <c r="N75">
        <f ca="1">DATEDIF(G75, TODAY(), "Y")</f>
        <v>55</v>
      </c>
      <c r="O75" s="2">
        <f>AVERAGE(All_Dept[[#This Row],[PER 2019]],All_Dept[[#This Row],[PER 2020]])</f>
        <v>0.8</v>
      </c>
      <c r="P75" s="5">
        <f>All_Dept[[#This Row],[PER 2020]]-All_Dept[[#This Row],[PER 2019]]</f>
        <v>-5.9999999999999942E-2</v>
      </c>
    </row>
    <row r="76" spans="1:16" x14ac:dyDescent="0.3">
      <c r="A76">
        <v>55</v>
      </c>
      <c r="B76" s="4">
        <v>27393</v>
      </c>
      <c r="C76" t="s">
        <v>23</v>
      </c>
      <c r="D76" t="s">
        <v>61</v>
      </c>
      <c r="E76" t="s">
        <v>48</v>
      </c>
      <c r="F76" s="1">
        <v>41977</v>
      </c>
      <c r="G76" s="1">
        <v>29527</v>
      </c>
      <c r="H76" t="s">
        <v>14</v>
      </c>
      <c r="I76">
        <v>3453</v>
      </c>
      <c r="J76" s="3">
        <v>0.87</v>
      </c>
      <c r="K76" s="3">
        <v>0.83</v>
      </c>
      <c r="L76" t="s">
        <v>60</v>
      </c>
      <c r="M76" s="13">
        <f ca="1">DATEDIF(F76, TODAY(), "Y")</f>
        <v>10</v>
      </c>
      <c r="N76">
        <f ca="1">DATEDIF(G76, TODAY(), "Y")</f>
        <v>44</v>
      </c>
      <c r="O76" s="2">
        <f>AVERAGE(All_Dept[[#This Row],[PER 2019]],All_Dept[[#This Row],[PER 2020]])</f>
        <v>0.85</v>
      </c>
      <c r="P76" s="5">
        <f>All_Dept[[#This Row],[PER 2020]]-All_Dept[[#This Row],[PER 2019]]</f>
        <v>-4.0000000000000036E-2</v>
      </c>
    </row>
    <row r="77" spans="1:16" x14ac:dyDescent="0.3">
      <c r="A77">
        <v>56</v>
      </c>
      <c r="B77" s="4">
        <v>30351</v>
      </c>
      <c r="C77" t="s">
        <v>25</v>
      </c>
      <c r="D77" t="s">
        <v>63</v>
      </c>
      <c r="E77" t="s">
        <v>48</v>
      </c>
      <c r="F77" s="1">
        <v>42053</v>
      </c>
      <c r="G77" s="1">
        <v>27098</v>
      </c>
      <c r="H77" t="s">
        <v>14</v>
      </c>
      <c r="I77">
        <v>14170</v>
      </c>
      <c r="J77" s="3">
        <v>0.77</v>
      </c>
      <c r="K77" s="3">
        <v>0.89</v>
      </c>
      <c r="L77" t="s">
        <v>60</v>
      </c>
      <c r="M77" s="13">
        <f ca="1">DATEDIF(F77, TODAY(), "Y")</f>
        <v>10</v>
      </c>
      <c r="N77">
        <f ca="1">DATEDIF(G77, TODAY(), "Y")</f>
        <v>51</v>
      </c>
      <c r="O77" s="2">
        <f>AVERAGE(All_Dept[[#This Row],[PER 2019]],All_Dept[[#This Row],[PER 2020]])</f>
        <v>0.83000000000000007</v>
      </c>
      <c r="P77" s="5">
        <f>All_Dept[[#This Row],[PER 2020]]-All_Dept[[#This Row],[PER 2019]]</f>
        <v>0.12</v>
      </c>
    </row>
    <row r="78" spans="1:16" x14ac:dyDescent="0.3">
      <c r="A78">
        <v>57</v>
      </c>
      <c r="B78" s="4">
        <v>26441</v>
      </c>
      <c r="C78" t="s">
        <v>26</v>
      </c>
      <c r="D78" t="s">
        <v>64</v>
      </c>
      <c r="E78" t="s">
        <v>24</v>
      </c>
      <c r="F78" s="1">
        <v>42597</v>
      </c>
      <c r="G78" s="1">
        <v>30987</v>
      </c>
      <c r="H78" t="s">
        <v>14</v>
      </c>
      <c r="I78">
        <v>3254</v>
      </c>
      <c r="J78" s="3">
        <v>0.81</v>
      </c>
      <c r="K78" s="3">
        <v>0.85</v>
      </c>
      <c r="L78" t="s">
        <v>60</v>
      </c>
      <c r="M78" s="13">
        <f ca="1">DATEDIF(F78, TODAY(), "Y")</f>
        <v>8</v>
      </c>
      <c r="N78">
        <f ca="1">DATEDIF(G78, TODAY(), "Y")</f>
        <v>40</v>
      </c>
      <c r="O78" s="2">
        <f>AVERAGE(All_Dept[[#This Row],[PER 2019]],All_Dept[[#This Row],[PER 2020]])</f>
        <v>0.83000000000000007</v>
      </c>
      <c r="P78" s="5">
        <f>All_Dept[[#This Row],[PER 2020]]-All_Dept[[#This Row],[PER 2019]]</f>
        <v>3.9999999999999925E-2</v>
      </c>
    </row>
    <row r="79" spans="1:16" x14ac:dyDescent="0.3">
      <c r="A79">
        <v>67</v>
      </c>
      <c r="B79" s="4">
        <v>27009</v>
      </c>
      <c r="C79" t="s">
        <v>30</v>
      </c>
      <c r="D79" t="s">
        <v>63</v>
      </c>
      <c r="E79" t="s">
        <v>48</v>
      </c>
      <c r="F79" s="1">
        <v>38816</v>
      </c>
      <c r="G79" s="1">
        <v>24781</v>
      </c>
      <c r="H79" t="s">
        <v>14</v>
      </c>
      <c r="I79">
        <v>5735</v>
      </c>
      <c r="J79" s="3">
        <v>0.82</v>
      </c>
      <c r="K79" s="3">
        <v>0.69</v>
      </c>
      <c r="L79" t="s">
        <v>60</v>
      </c>
      <c r="M79" s="13">
        <f ca="1">DATEDIF(F79, TODAY(), "Y")</f>
        <v>19</v>
      </c>
      <c r="N79">
        <f ca="1">DATEDIF(G79, TODAY(), "Y")</f>
        <v>57</v>
      </c>
      <c r="O79" s="2">
        <f>AVERAGE(All_Dept[[#This Row],[PER 2019]],All_Dept[[#This Row],[PER 2020]])</f>
        <v>0.75499999999999989</v>
      </c>
      <c r="P79" s="5">
        <f>All_Dept[[#This Row],[PER 2020]]-All_Dept[[#This Row],[PER 2019]]</f>
        <v>-0.13</v>
      </c>
    </row>
    <row r="80" spans="1:16" x14ac:dyDescent="0.3">
      <c r="A80">
        <v>68</v>
      </c>
      <c r="B80" s="4">
        <v>26428</v>
      </c>
      <c r="C80" t="s">
        <v>68</v>
      </c>
      <c r="D80" t="s">
        <v>61</v>
      </c>
      <c r="E80" t="s">
        <v>48</v>
      </c>
      <c r="F80" s="1">
        <v>39298</v>
      </c>
      <c r="G80" s="1">
        <v>25572</v>
      </c>
      <c r="H80" t="s">
        <v>14</v>
      </c>
      <c r="I80">
        <v>2725</v>
      </c>
      <c r="J80" s="3">
        <v>0.8</v>
      </c>
      <c r="K80" s="3">
        <v>0.54</v>
      </c>
      <c r="L80" t="s">
        <v>60</v>
      </c>
      <c r="M80" s="13">
        <f ca="1">DATEDIF(F80, TODAY(), "Y")</f>
        <v>17</v>
      </c>
      <c r="N80">
        <f ca="1">DATEDIF(G80, TODAY(), "Y")</f>
        <v>55</v>
      </c>
      <c r="O80" s="2">
        <f>AVERAGE(All_Dept[[#This Row],[PER 2019]],All_Dept[[#This Row],[PER 2020]])</f>
        <v>0.67</v>
      </c>
      <c r="P80" s="5">
        <f>All_Dept[[#This Row],[PER 2020]]-All_Dept[[#This Row],[PER 2019]]</f>
        <v>-0.26</v>
      </c>
    </row>
    <row r="81" spans="1:16" x14ac:dyDescent="0.3">
      <c r="A81">
        <v>69</v>
      </c>
      <c r="B81" s="4">
        <v>26417</v>
      </c>
      <c r="C81" t="s">
        <v>69</v>
      </c>
      <c r="D81" t="s">
        <v>63</v>
      </c>
      <c r="E81" t="s">
        <v>85</v>
      </c>
      <c r="F81" s="1">
        <v>39725</v>
      </c>
      <c r="G81" s="1">
        <v>25981</v>
      </c>
      <c r="H81" t="s">
        <v>14</v>
      </c>
      <c r="I81">
        <v>5909</v>
      </c>
      <c r="J81" s="3">
        <v>0.76</v>
      </c>
      <c r="K81" s="3">
        <v>0.43</v>
      </c>
      <c r="L81" t="s">
        <v>60</v>
      </c>
      <c r="M81" s="13">
        <f ca="1">DATEDIF(F81, TODAY(), "Y")</f>
        <v>16</v>
      </c>
      <c r="N81">
        <f ca="1">DATEDIF(G81, TODAY(), "Y")</f>
        <v>54</v>
      </c>
      <c r="O81" s="2">
        <f>AVERAGE(All_Dept[[#This Row],[PER 2019]],All_Dept[[#This Row],[PER 2020]])</f>
        <v>0.59499999999999997</v>
      </c>
      <c r="P81" s="5">
        <f>All_Dept[[#This Row],[PER 2020]]-All_Dept[[#This Row],[PER 2019]]</f>
        <v>-0.33</v>
      </c>
    </row>
    <row r="82" spans="1:16" x14ac:dyDescent="0.3">
      <c r="A82">
        <v>70</v>
      </c>
      <c r="B82" s="4">
        <v>27150</v>
      </c>
      <c r="C82" t="s">
        <v>52</v>
      </c>
      <c r="D82" t="s">
        <v>64</v>
      </c>
      <c r="E82" t="s">
        <v>85</v>
      </c>
      <c r="F82" s="1">
        <v>40180</v>
      </c>
      <c r="G82" s="1">
        <v>23726</v>
      </c>
      <c r="H82" t="s">
        <v>14</v>
      </c>
      <c r="I82">
        <v>11445</v>
      </c>
      <c r="J82" s="3">
        <v>0.8</v>
      </c>
      <c r="K82" s="3">
        <v>0.57999999999999996</v>
      </c>
      <c r="L82" t="s">
        <v>60</v>
      </c>
      <c r="M82" s="13">
        <f ca="1">DATEDIF(F82, TODAY(), "Y")</f>
        <v>15</v>
      </c>
      <c r="N82">
        <f ca="1">DATEDIF(G82, TODAY(), "Y")</f>
        <v>60</v>
      </c>
      <c r="O82" s="2">
        <f>AVERAGE(All_Dept[[#This Row],[PER 2019]],All_Dept[[#This Row],[PER 2020]])</f>
        <v>0.69</v>
      </c>
      <c r="P82" s="5">
        <f>All_Dept[[#This Row],[PER 2020]]-All_Dept[[#This Row],[PER 2019]]</f>
        <v>-0.22000000000000008</v>
      </c>
    </row>
    <row r="83" spans="1:16" x14ac:dyDescent="0.3">
      <c r="A83">
        <v>83</v>
      </c>
      <c r="B83" s="4">
        <v>26399</v>
      </c>
      <c r="C83" t="s">
        <v>67</v>
      </c>
      <c r="D83" t="s">
        <v>61</v>
      </c>
      <c r="E83" t="s">
        <v>85</v>
      </c>
      <c r="F83" s="1">
        <v>37282</v>
      </c>
      <c r="G83" s="1">
        <v>30042</v>
      </c>
      <c r="H83" t="s">
        <v>14</v>
      </c>
      <c r="I83">
        <v>6834</v>
      </c>
      <c r="J83" s="3">
        <v>0.83</v>
      </c>
      <c r="K83" s="3">
        <v>0.64</v>
      </c>
      <c r="L83" t="s">
        <v>60</v>
      </c>
      <c r="M83" s="13">
        <f ca="1">DATEDIF(F83, TODAY(), "Y")</f>
        <v>23</v>
      </c>
      <c r="N83">
        <f ca="1">DATEDIF(G83, TODAY(), "Y")</f>
        <v>43</v>
      </c>
      <c r="O83" s="2">
        <f>AVERAGE(All_Dept[[#This Row],[PER 2019]],All_Dept[[#This Row],[PER 2020]])</f>
        <v>0.73499999999999999</v>
      </c>
      <c r="P83" s="5">
        <f>All_Dept[[#This Row],[PER 2020]]-All_Dept[[#This Row],[PER 2019]]</f>
        <v>-0.18999999999999995</v>
      </c>
    </row>
    <row r="84" spans="1:16" x14ac:dyDescent="0.3">
      <c r="A84">
        <v>84</v>
      </c>
      <c r="B84" s="4">
        <v>26442</v>
      </c>
      <c r="C84" t="s">
        <v>46</v>
      </c>
      <c r="D84" t="s">
        <v>63</v>
      </c>
      <c r="E84" t="s">
        <v>48</v>
      </c>
      <c r="F84" s="1">
        <v>37975</v>
      </c>
      <c r="G84" s="1">
        <v>24969</v>
      </c>
      <c r="H84" t="s">
        <v>14</v>
      </c>
      <c r="I84">
        <v>1860</v>
      </c>
      <c r="J84" s="3">
        <v>0.89</v>
      </c>
      <c r="K84" s="3">
        <v>0.94</v>
      </c>
      <c r="L84" t="s">
        <v>60</v>
      </c>
      <c r="M84" s="13">
        <f ca="1">DATEDIF(F84, TODAY(), "Y")</f>
        <v>21</v>
      </c>
      <c r="N84">
        <f ca="1">DATEDIF(G84, TODAY(), "Y")</f>
        <v>57</v>
      </c>
      <c r="O84" s="2">
        <f>AVERAGE(All_Dept[[#This Row],[PER 2019]],All_Dept[[#This Row],[PER 2020]])</f>
        <v>0.91500000000000004</v>
      </c>
      <c r="P84" s="5">
        <f>All_Dept[[#This Row],[PER 2020]]-All_Dept[[#This Row],[PER 2019]]</f>
        <v>4.9999999999999933E-2</v>
      </c>
    </row>
    <row r="85" spans="1:16" x14ac:dyDescent="0.3">
      <c r="A85">
        <v>85</v>
      </c>
      <c r="B85" s="4">
        <v>25908</v>
      </c>
      <c r="C85" t="s">
        <v>37</v>
      </c>
      <c r="D85" t="s">
        <v>64</v>
      </c>
      <c r="E85" t="s">
        <v>48</v>
      </c>
      <c r="F85" s="1">
        <v>38403</v>
      </c>
      <c r="G85" s="1">
        <v>26618</v>
      </c>
      <c r="H85" t="s">
        <v>14</v>
      </c>
      <c r="I85">
        <v>8730</v>
      </c>
      <c r="J85" s="3">
        <v>0.88</v>
      </c>
      <c r="K85" s="3">
        <v>0.95</v>
      </c>
      <c r="L85" t="s">
        <v>60</v>
      </c>
      <c r="M85" s="13">
        <f ca="1">DATEDIF(F85, TODAY(), "Y")</f>
        <v>20</v>
      </c>
      <c r="N85">
        <f ca="1">DATEDIF(G85, TODAY(), "Y")</f>
        <v>52</v>
      </c>
      <c r="O85" s="2">
        <f>AVERAGE(All_Dept[[#This Row],[PER 2019]],All_Dept[[#This Row],[PER 2020]])</f>
        <v>0.91500000000000004</v>
      </c>
      <c r="P85" s="5">
        <f>All_Dept[[#This Row],[PER 2020]]-All_Dept[[#This Row],[PER 2019]]</f>
        <v>6.9999999999999951E-2</v>
      </c>
    </row>
    <row r="86" spans="1:16" x14ac:dyDescent="0.3">
      <c r="A86">
        <v>4</v>
      </c>
      <c r="B86" s="4">
        <v>29769</v>
      </c>
      <c r="C86" t="s">
        <v>35</v>
      </c>
      <c r="D86" t="s">
        <v>70</v>
      </c>
      <c r="E86" t="s">
        <v>48</v>
      </c>
      <c r="F86" s="1">
        <v>41499</v>
      </c>
      <c r="G86" s="1">
        <v>26494</v>
      </c>
      <c r="H86" t="s">
        <v>44</v>
      </c>
      <c r="I86">
        <v>26520</v>
      </c>
      <c r="J86" s="3">
        <v>0.81</v>
      </c>
      <c r="K86" s="3">
        <v>0.66</v>
      </c>
      <c r="L86" t="s">
        <v>71</v>
      </c>
      <c r="M86" s="13">
        <f ca="1">DATEDIF(F86, TODAY(), "Y")</f>
        <v>11</v>
      </c>
      <c r="N86">
        <f ca="1">DATEDIF(G86, TODAY(), "Y")</f>
        <v>52</v>
      </c>
      <c r="O86" s="2">
        <f>AVERAGE(All_Dept[[#This Row],[PER 2019]],All_Dept[[#This Row],[PER 2020]])</f>
        <v>0.7350000000000001</v>
      </c>
      <c r="P86" s="5">
        <f>All_Dept[[#This Row],[PER 2020]]-All_Dept[[#This Row],[PER 2019]]</f>
        <v>-0.15000000000000002</v>
      </c>
    </row>
    <row r="87" spans="1:16" x14ac:dyDescent="0.3">
      <c r="A87">
        <v>12</v>
      </c>
      <c r="B87" s="4">
        <v>26401</v>
      </c>
      <c r="C87" t="s">
        <v>41</v>
      </c>
      <c r="D87" t="s">
        <v>72</v>
      </c>
      <c r="E87" t="s">
        <v>48</v>
      </c>
      <c r="F87" s="1">
        <v>42477</v>
      </c>
      <c r="G87" s="1">
        <v>25717</v>
      </c>
      <c r="H87" t="s">
        <v>14</v>
      </c>
      <c r="I87">
        <v>16455</v>
      </c>
      <c r="J87" s="3">
        <v>0.75</v>
      </c>
      <c r="K87" s="3">
        <v>0.92</v>
      </c>
      <c r="L87" t="s">
        <v>71</v>
      </c>
      <c r="M87" s="13">
        <f ca="1">DATEDIF(F87, TODAY(), "Y")</f>
        <v>9</v>
      </c>
      <c r="N87">
        <f ca="1">DATEDIF(G87, TODAY(), "Y")</f>
        <v>55</v>
      </c>
      <c r="O87" s="2">
        <f>AVERAGE(All_Dept[[#This Row],[PER 2019]],All_Dept[[#This Row],[PER 2020]])</f>
        <v>0.83499999999999996</v>
      </c>
      <c r="P87" s="5">
        <f>All_Dept[[#This Row],[PER 2020]]-All_Dept[[#This Row],[PER 2019]]</f>
        <v>0.17000000000000004</v>
      </c>
    </row>
    <row r="88" spans="1:16" x14ac:dyDescent="0.3">
      <c r="A88">
        <v>13</v>
      </c>
      <c r="B88" s="4">
        <v>26435</v>
      </c>
      <c r="C88" t="s">
        <v>67</v>
      </c>
      <c r="D88" t="s">
        <v>72</v>
      </c>
      <c r="E88" t="s">
        <v>24</v>
      </c>
      <c r="F88" s="1">
        <v>37131</v>
      </c>
      <c r="G88" s="1">
        <v>22910</v>
      </c>
      <c r="H88" t="s">
        <v>14</v>
      </c>
      <c r="I88">
        <v>4981</v>
      </c>
      <c r="J88" s="3">
        <v>0.77</v>
      </c>
      <c r="K88" s="3">
        <v>0.86</v>
      </c>
      <c r="L88" t="s">
        <v>71</v>
      </c>
      <c r="M88" s="13">
        <f ca="1">DATEDIF(F88, TODAY(), "Y")</f>
        <v>23</v>
      </c>
      <c r="N88">
        <f ca="1">DATEDIF(G88, TODAY(), "Y")</f>
        <v>62</v>
      </c>
      <c r="O88" s="2">
        <f>AVERAGE(All_Dept[[#This Row],[PER 2019]],All_Dept[[#This Row],[PER 2020]])</f>
        <v>0.81499999999999995</v>
      </c>
      <c r="P88" s="5">
        <f>All_Dept[[#This Row],[PER 2020]]-All_Dept[[#This Row],[PER 2019]]</f>
        <v>8.9999999999999969E-2</v>
      </c>
    </row>
    <row r="89" spans="1:16" x14ac:dyDescent="0.3">
      <c r="A89">
        <v>33</v>
      </c>
      <c r="B89" s="4">
        <v>26410</v>
      </c>
      <c r="C89" t="s">
        <v>68</v>
      </c>
      <c r="D89" t="s">
        <v>72</v>
      </c>
      <c r="E89" t="s">
        <v>24</v>
      </c>
      <c r="F89" s="1">
        <v>42417</v>
      </c>
      <c r="G89" s="1">
        <v>27626</v>
      </c>
      <c r="H89" t="s">
        <v>14</v>
      </c>
      <c r="I89">
        <v>3165</v>
      </c>
      <c r="J89" s="3">
        <v>0.84</v>
      </c>
      <c r="K89" s="3">
        <v>0.78</v>
      </c>
      <c r="L89" t="s">
        <v>71</v>
      </c>
      <c r="M89" s="13">
        <f ca="1">DATEDIF(F89, TODAY(), "Y")</f>
        <v>9</v>
      </c>
      <c r="N89">
        <f ca="1">DATEDIF(G89, TODAY(), "Y")</f>
        <v>49</v>
      </c>
      <c r="O89" s="2">
        <f>AVERAGE(All_Dept[[#This Row],[PER 2019]],All_Dept[[#This Row],[PER 2020]])</f>
        <v>0.81</v>
      </c>
      <c r="P89" s="5">
        <f>All_Dept[[#This Row],[PER 2020]]-All_Dept[[#This Row],[PER 2019]]</f>
        <v>-5.9999999999999942E-2</v>
      </c>
    </row>
    <row r="90" spans="1:16" x14ac:dyDescent="0.3">
      <c r="A90">
        <v>34</v>
      </c>
      <c r="B90" s="4">
        <v>27385</v>
      </c>
      <c r="C90" t="s">
        <v>69</v>
      </c>
      <c r="D90" t="s">
        <v>72</v>
      </c>
      <c r="E90" t="s">
        <v>85</v>
      </c>
      <c r="F90" s="1">
        <v>42462</v>
      </c>
      <c r="G90" s="1">
        <v>24785</v>
      </c>
      <c r="H90" t="s">
        <v>14</v>
      </c>
      <c r="I90">
        <v>20883</v>
      </c>
      <c r="J90" s="3">
        <v>0.85</v>
      </c>
      <c r="K90" s="3">
        <v>0.76</v>
      </c>
      <c r="L90" t="s">
        <v>71</v>
      </c>
      <c r="M90" s="13">
        <f ca="1">DATEDIF(F90, TODAY(), "Y")</f>
        <v>9</v>
      </c>
      <c r="N90">
        <f ca="1">DATEDIF(G90, TODAY(), "Y")</f>
        <v>57</v>
      </c>
      <c r="O90" s="2">
        <f>AVERAGE(All_Dept[[#This Row],[PER 2019]],All_Dept[[#This Row],[PER 2020]])</f>
        <v>0.80499999999999994</v>
      </c>
      <c r="P90" s="5">
        <f>All_Dept[[#This Row],[PER 2020]]-All_Dept[[#This Row],[PER 2019]]</f>
        <v>-8.9999999999999969E-2</v>
      </c>
    </row>
    <row r="91" spans="1:16" x14ac:dyDescent="0.3">
      <c r="A91">
        <v>61</v>
      </c>
      <c r="B91" s="4">
        <v>26389</v>
      </c>
      <c r="C91" t="s">
        <v>65</v>
      </c>
      <c r="D91" t="s">
        <v>72</v>
      </c>
      <c r="E91" t="s">
        <v>48</v>
      </c>
      <c r="F91" s="1">
        <v>43071</v>
      </c>
      <c r="G91" s="1">
        <v>21695</v>
      </c>
      <c r="H91" t="s">
        <v>14</v>
      </c>
      <c r="I91">
        <v>13380</v>
      </c>
      <c r="J91" s="3">
        <v>0.8</v>
      </c>
      <c r="K91" s="3">
        <v>0.72</v>
      </c>
      <c r="L91" t="s">
        <v>71</v>
      </c>
      <c r="M91" s="13">
        <f ca="1">DATEDIF(F91, TODAY(), "Y")</f>
        <v>7</v>
      </c>
      <c r="N91">
        <f ca="1">DATEDIF(G91, TODAY(), "Y")</f>
        <v>66</v>
      </c>
      <c r="O91" s="2">
        <f>AVERAGE(All_Dept[[#This Row],[PER 2019]],All_Dept[[#This Row],[PER 2020]])</f>
        <v>0.76</v>
      </c>
      <c r="P91" s="5">
        <f>All_Dept[[#This Row],[PER 2020]]-All_Dept[[#This Row],[PER 2019]]</f>
        <v>-8.0000000000000071E-2</v>
      </c>
    </row>
    <row r="92" spans="1:16" x14ac:dyDescent="0.3">
      <c r="A92">
        <v>62</v>
      </c>
      <c r="B92" s="4">
        <v>30459</v>
      </c>
      <c r="C92" t="s">
        <v>66</v>
      </c>
      <c r="D92" t="s">
        <v>72</v>
      </c>
      <c r="E92" t="s">
        <v>24</v>
      </c>
      <c r="F92" s="1">
        <v>43444</v>
      </c>
      <c r="G92" s="1">
        <v>25438</v>
      </c>
      <c r="H92" t="s">
        <v>14</v>
      </c>
      <c r="I92">
        <v>18856</v>
      </c>
      <c r="J92" s="3">
        <v>0.81</v>
      </c>
      <c r="K92" s="3">
        <v>0.48</v>
      </c>
      <c r="L92" t="s">
        <v>71</v>
      </c>
      <c r="M92" s="13">
        <f ca="1">DATEDIF(F92, TODAY(), "Y")</f>
        <v>6</v>
      </c>
      <c r="N92">
        <f ca="1">DATEDIF(G92, TODAY(), "Y")</f>
        <v>55</v>
      </c>
      <c r="O92" s="2">
        <f>AVERAGE(All_Dept[[#This Row],[PER 2019]],All_Dept[[#This Row],[PER 2020]])</f>
        <v>0.64500000000000002</v>
      </c>
      <c r="P92" s="5">
        <f>All_Dept[[#This Row],[PER 2020]]-All_Dept[[#This Row],[PER 2019]]</f>
        <v>-0.33000000000000007</v>
      </c>
    </row>
    <row r="93" spans="1:16" x14ac:dyDescent="0.3">
      <c r="A93">
        <v>74</v>
      </c>
      <c r="B93" s="4">
        <v>27780</v>
      </c>
      <c r="C93" t="s">
        <v>34</v>
      </c>
      <c r="D93" t="s">
        <v>72</v>
      </c>
      <c r="E93" t="s">
        <v>24</v>
      </c>
      <c r="F93" s="1">
        <v>42403</v>
      </c>
      <c r="G93" s="1">
        <v>30445</v>
      </c>
      <c r="H93" t="s">
        <v>14</v>
      </c>
      <c r="I93">
        <v>13891</v>
      </c>
      <c r="J93" s="3">
        <v>0.86</v>
      </c>
      <c r="K93" s="3">
        <v>0.97</v>
      </c>
      <c r="L93" t="s">
        <v>71</v>
      </c>
      <c r="M93" s="13">
        <f ca="1">DATEDIF(F93, TODAY(), "Y")</f>
        <v>9</v>
      </c>
      <c r="N93">
        <f ca="1">DATEDIF(G93, TODAY(), "Y")</f>
        <v>42</v>
      </c>
      <c r="O93" s="2">
        <f>AVERAGE(All_Dept[[#This Row],[PER 2019]],All_Dept[[#This Row],[PER 2020]])</f>
        <v>0.91500000000000004</v>
      </c>
      <c r="P93" s="5">
        <f>All_Dept[[#This Row],[PER 2020]]-All_Dept[[#This Row],[PER 2019]]</f>
        <v>0.10999999999999999</v>
      </c>
    </row>
    <row r="94" spans="1:16" x14ac:dyDescent="0.3">
      <c r="A94">
        <v>75</v>
      </c>
      <c r="B94" s="4">
        <v>25907</v>
      </c>
      <c r="C94" t="s">
        <v>35</v>
      </c>
      <c r="D94" t="s">
        <v>72</v>
      </c>
      <c r="E94" t="s">
        <v>85</v>
      </c>
      <c r="F94" s="1">
        <v>42417</v>
      </c>
      <c r="G94" s="1">
        <v>28157</v>
      </c>
      <c r="H94" t="s">
        <v>14</v>
      </c>
      <c r="I94">
        <v>19451</v>
      </c>
      <c r="J94" s="3">
        <v>0.77</v>
      </c>
      <c r="K94" s="3">
        <v>0.63</v>
      </c>
      <c r="L94" t="s">
        <v>71</v>
      </c>
      <c r="M94" s="13">
        <f ca="1">DATEDIF(F94, TODAY(), "Y")</f>
        <v>9</v>
      </c>
      <c r="N94">
        <f ca="1">DATEDIF(G94, TODAY(), "Y")</f>
        <v>48</v>
      </c>
      <c r="O94" s="2">
        <f>AVERAGE(All_Dept[[#This Row],[PER 2019]],All_Dept[[#This Row],[PER 2020]])</f>
        <v>0.7</v>
      </c>
      <c r="P94" s="5">
        <f>All_Dept[[#This Row],[PER 2020]]-All_Dept[[#This Row],[PER 2019]]</f>
        <v>-0.14000000000000001</v>
      </c>
    </row>
    <row r="95" spans="1:16" x14ac:dyDescent="0.3">
      <c r="A95">
        <v>86</v>
      </c>
      <c r="B95" s="4">
        <v>27144</v>
      </c>
      <c r="C95" t="s">
        <v>20</v>
      </c>
      <c r="D95" t="s">
        <v>72</v>
      </c>
      <c r="E95" t="s">
        <v>48</v>
      </c>
      <c r="F95" s="1">
        <v>39102</v>
      </c>
      <c r="G95" s="1">
        <v>24807</v>
      </c>
      <c r="H95" t="s">
        <v>14</v>
      </c>
      <c r="I95">
        <v>2185</v>
      </c>
      <c r="J95" s="3">
        <v>0.79</v>
      </c>
      <c r="K95" s="3">
        <v>0.65</v>
      </c>
      <c r="L95" t="s">
        <v>71</v>
      </c>
      <c r="M95" s="13">
        <f ca="1">DATEDIF(F95, TODAY(), "Y")</f>
        <v>18</v>
      </c>
      <c r="N95">
        <f ca="1">DATEDIF(G95, TODAY(), "Y")</f>
        <v>57</v>
      </c>
      <c r="O95" s="2">
        <f>AVERAGE(All_Dept[[#This Row],[PER 2019]],All_Dept[[#This Row],[PER 2020]])</f>
        <v>0.72</v>
      </c>
      <c r="P95" s="5">
        <f>All_Dept[[#This Row],[PER 2020]]-All_Dept[[#This Row],[PER 2019]]</f>
        <v>-0.14000000000000001</v>
      </c>
    </row>
  </sheetData>
  <phoneticPr fontId="1" type="noConversion"/>
  <conditionalFormatting sqref="B1:B95">
    <cfRule type="duplicateValues" dxfId="0" priority="5"/>
  </conditionalFormatting>
  <conditionalFormatting sqref="P2:P95">
    <cfRule type="iconSet" priority="3">
      <iconSet iconSet="3Arrows">
        <cfvo type="percent" val="0"/>
        <cfvo type="num" val="-0.1"/>
        <cfvo type="num" val="0.1"/>
      </iconSet>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8932-E9BB-44AE-AE35-23CD3B8902A5}">
  <sheetPr>
    <tabColor theme="8" tint="0.59999389629810485"/>
  </sheetPr>
  <dimension ref="A1:S43"/>
  <sheetViews>
    <sheetView zoomScale="65" zoomScaleNormal="80" workbookViewId="0">
      <selection sqref="A1:D1"/>
    </sheetView>
  </sheetViews>
  <sheetFormatPr defaultRowHeight="14.4" x14ac:dyDescent="0.3"/>
  <cols>
    <col min="1" max="1" width="28.109375" bestFit="1" customWidth="1"/>
    <col min="2" max="3" width="18.5546875" bestFit="1" customWidth="1"/>
    <col min="4" max="4" width="14.6640625" bestFit="1" customWidth="1"/>
    <col min="5" max="5" width="19.5546875" customWidth="1"/>
    <col min="6" max="6" width="14.109375" bestFit="1" customWidth="1"/>
    <col min="7" max="7" width="26.77734375" bestFit="1" customWidth="1"/>
    <col min="8" max="8" width="17.109375" customWidth="1"/>
    <col min="9" max="9" width="33" bestFit="1" customWidth="1"/>
    <col min="10" max="10" width="17.33203125" bestFit="1" customWidth="1"/>
    <col min="11" max="11" width="15" customWidth="1"/>
    <col min="12" max="12" width="11.6640625" bestFit="1" customWidth="1"/>
    <col min="13" max="13" width="16.88671875" bestFit="1" customWidth="1"/>
    <col min="14" max="14" width="11.5546875" bestFit="1" customWidth="1"/>
    <col min="15" max="15" width="25.44140625" bestFit="1" customWidth="1"/>
    <col min="16" max="16" width="18" customWidth="1"/>
    <col min="17" max="17" width="13.5546875" bestFit="1" customWidth="1"/>
    <col min="18" max="18" width="14.5546875" bestFit="1" customWidth="1"/>
    <col min="19" max="19" width="19.33203125" bestFit="1" customWidth="1"/>
    <col min="20" max="20" width="10.5546875" bestFit="1" customWidth="1"/>
    <col min="21" max="21" width="4.109375" bestFit="1" customWidth="1"/>
    <col min="22" max="22" width="10.5546875" bestFit="1" customWidth="1"/>
    <col min="23" max="23" width="12.5546875" bestFit="1" customWidth="1"/>
    <col min="24" max="24" width="6.5546875" bestFit="1" customWidth="1"/>
    <col min="25" max="25" width="7.77734375" bestFit="1" customWidth="1"/>
    <col min="26" max="26" width="8.6640625" bestFit="1" customWidth="1"/>
    <col min="27" max="27" width="8.33203125" bestFit="1" customWidth="1"/>
    <col min="28" max="28" width="11.6640625" bestFit="1" customWidth="1"/>
    <col min="29" max="29" width="8.5546875" bestFit="1" customWidth="1"/>
    <col min="30" max="30" width="7.6640625" bestFit="1" customWidth="1"/>
    <col min="31" max="31" width="6.6640625" bestFit="1" customWidth="1"/>
    <col min="32" max="32" width="7.109375" bestFit="1" customWidth="1"/>
    <col min="33" max="33" width="9.21875" bestFit="1" customWidth="1"/>
    <col min="34" max="34" width="9.88671875" bestFit="1" customWidth="1"/>
    <col min="35" max="35" width="7.6640625" bestFit="1" customWidth="1"/>
    <col min="36" max="36" width="6.44140625" bestFit="1" customWidth="1"/>
    <col min="37" max="37" width="8.109375" bestFit="1" customWidth="1"/>
    <col min="38" max="38" width="8.6640625" bestFit="1" customWidth="1"/>
    <col min="39" max="39" width="10.5546875" bestFit="1" customWidth="1"/>
  </cols>
  <sheetData>
    <row r="1" spans="1:19" ht="18" x14ac:dyDescent="0.35">
      <c r="A1" s="27" t="s">
        <v>94</v>
      </c>
      <c r="B1" s="27"/>
      <c r="C1" s="27"/>
      <c r="D1" s="27"/>
      <c r="F1" s="27" t="s">
        <v>97</v>
      </c>
      <c r="G1" s="27"/>
      <c r="H1" s="6"/>
      <c r="I1" s="27" t="s">
        <v>98</v>
      </c>
      <c r="J1" s="27"/>
      <c r="L1" s="27" t="s">
        <v>99</v>
      </c>
      <c r="M1" s="27"/>
      <c r="Q1" s="6"/>
      <c r="R1" s="6"/>
      <c r="S1" s="6"/>
    </row>
    <row r="2" spans="1:19" ht="15.6" x14ac:dyDescent="0.3">
      <c r="A2" s="7" t="s">
        <v>88</v>
      </c>
      <c r="B2" s="6" t="s">
        <v>78</v>
      </c>
      <c r="C2" s="6" t="s">
        <v>79</v>
      </c>
      <c r="D2" s="6" t="s">
        <v>80</v>
      </c>
      <c r="E2" s="6"/>
      <c r="F2" s="7" t="s">
        <v>88</v>
      </c>
      <c r="G2" s="6" t="s">
        <v>102</v>
      </c>
      <c r="I2" s="7" t="s">
        <v>88</v>
      </c>
      <c r="J2" s="6" t="s">
        <v>93</v>
      </c>
      <c r="L2" s="7" t="s">
        <v>88</v>
      </c>
      <c r="M2" s="6" t="s">
        <v>86</v>
      </c>
      <c r="R2" s="6"/>
      <c r="S2" s="6"/>
    </row>
    <row r="3" spans="1:19" ht="15.6" x14ac:dyDescent="0.3">
      <c r="A3" s="8" t="s">
        <v>48</v>
      </c>
      <c r="B3" s="9">
        <v>0.77249999999999996</v>
      </c>
      <c r="C3" s="9">
        <v>0.81972222222222235</v>
      </c>
      <c r="D3" s="10">
        <v>-4.7222222222222242E-2</v>
      </c>
      <c r="E3" s="6"/>
      <c r="F3" s="8" t="s">
        <v>85</v>
      </c>
      <c r="G3" s="33">
        <v>614994</v>
      </c>
      <c r="I3" s="8" t="s">
        <v>85</v>
      </c>
      <c r="J3" s="33">
        <v>46</v>
      </c>
      <c r="L3" s="8" t="s">
        <v>85</v>
      </c>
      <c r="M3" s="33">
        <v>46</v>
      </c>
      <c r="R3" s="6"/>
      <c r="S3" s="6"/>
    </row>
    <row r="4" spans="1:19" ht="15.6" x14ac:dyDescent="0.3">
      <c r="A4" s="8" t="s">
        <v>24</v>
      </c>
      <c r="B4" s="9">
        <v>0.73055555555555562</v>
      </c>
      <c r="C4" s="9">
        <v>0.81833333333333347</v>
      </c>
      <c r="D4" s="10">
        <v>-8.7777777777777788E-2</v>
      </c>
      <c r="E4" s="6"/>
      <c r="F4" s="14" t="s">
        <v>72</v>
      </c>
      <c r="G4" s="33">
        <v>40334</v>
      </c>
      <c r="I4" s="14" t="s">
        <v>72</v>
      </c>
      <c r="J4" s="33">
        <v>2</v>
      </c>
      <c r="L4" s="8" t="s">
        <v>48</v>
      </c>
      <c r="M4" s="33">
        <v>36</v>
      </c>
      <c r="R4" s="6"/>
      <c r="S4" s="6"/>
    </row>
    <row r="5" spans="1:19" ht="15.6" x14ac:dyDescent="0.3">
      <c r="A5" s="8" t="s">
        <v>85</v>
      </c>
      <c r="B5" s="9">
        <v>0.65760869565217395</v>
      </c>
      <c r="C5" s="9">
        <v>0.8171739130434782</v>
      </c>
      <c r="D5" s="10">
        <v>-0.15956521739130433</v>
      </c>
      <c r="E5" s="6"/>
      <c r="F5" s="14" t="s">
        <v>47</v>
      </c>
      <c r="G5" s="33">
        <v>42080</v>
      </c>
      <c r="I5" s="14" t="s">
        <v>47</v>
      </c>
      <c r="J5" s="33">
        <v>2</v>
      </c>
      <c r="L5" s="8" t="s">
        <v>24</v>
      </c>
      <c r="M5" s="33">
        <v>18</v>
      </c>
      <c r="R5" s="6"/>
      <c r="S5" s="6"/>
    </row>
    <row r="6" spans="1:19" ht="15.6" x14ac:dyDescent="0.3">
      <c r="A6" s="8" t="s">
        <v>76</v>
      </c>
      <c r="B6" s="9">
        <v>0.71209999999999996</v>
      </c>
      <c r="C6" s="9">
        <v>0.81829999999999981</v>
      </c>
      <c r="D6" s="10">
        <v>-0.10620000000000003</v>
      </c>
      <c r="E6" s="6"/>
      <c r="F6" s="14" t="s">
        <v>64</v>
      </c>
      <c r="G6" s="33">
        <v>11445</v>
      </c>
      <c r="I6" s="14" t="s">
        <v>64</v>
      </c>
      <c r="J6" s="33">
        <v>1</v>
      </c>
      <c r="L6" s="8" t="s">
        <v>76</v>
      </c>
      <c r="M6" s="33">
        <v>100</v>
      </c>
      <c r="R6" s="6"/>
      <c r="S6" s="6"/>
    </row>
    <row r="7" spans="1:19" ht="15.6" x14ac:dyDescent="0.3">
      <c r="E7" s="6"/>
      <c r="F7" s="14" t="s">
        <v>59</v>
      </c>
      <c r="G7" s="33">
        <v>20500</v>
      </c>
      <c r="I7" s="14" t="s">
        <v>59</v>
      </c>
      <c r="J7" s="33">
        <v>1</v>
      </c>
      <c r="R7" s="6"/>
    </row>
    <row r="8" spans="1:19" ht="18" x14ac:dyDescent="0.35">
      <c r="E8" s="6"/>
      <c r="F8" s="14" t="s">
        <v>61</v>
      </c>
      <c r="G8" s="33">
        <v>37121</v>
      </c>
      <c r="I8" s="14" t="s">
        <v>61</v>
      </c>
      <c r="J8" s="33">
        <v>3</v>
      </c>
      <c r="L8" s="27" t="s">
        <v>100</v>
      </c>
      <c r="M8" s="28"/>
      <c r="R8" s="6"/>
    </row>
    <row r="9" spans="1:19" ht="15.6" x14ac:dyDescent="0.3">
      <c r="A9" s="6"/>
      <c r="B9" s="6"/>
      <c r="C9" s="6"/>
      <c r="D9" s="6"/>
      <c r="F9" s="14" t="s">
        <v>43</v>
      </c>
      <c r="G9" s="33">
        <v>21575</v>
      </c>
      <c r="I9" s="14" t="s">
        <v>43</v>
      </c>
      <c r="J9" s="33">
        <v>1</v>
      </c>
      <c r="L9" s="7" t="s">
        <v>88</v>
      </c>
      <c r="M9" s="6" t="s">
        <v>87</v>
      </c>
    </row>
    <row r="10" spans="1:19" ht="18" x14ac:dyDescent="0.35">
      <c r="A10" s="27" t="s">
        <v>95</v>
      </c>
      <c r="B10" s="27"/>
      <c r="C10" s="27"/>
      <c r="F10" s="14" t="s">
        <v>49</v>
      </c>
      <c r="G10" s="33">
        <v>105488</v>
      </c>
      <c r="I10" s="14" t="s">
        <v>49</v>
      </c>
      <c r="J10" s="33">
        <v>6</v>
      </c>
      <c r="L10" s="8" t="s">
        <v>85</v>
      </c>
      <c r="M10" s="33">
        <v>614994</v>
      </c>
    </row>
    <row r="11" spans="1:19" ht="15.6" x14ac:dyDescent="0.3">
      <c r="A11" s="7" t="s">
        <v>88</v>
      </c>
      <c r="B11" s="6" t="s">
        <v>81</v>
      </c>
      <c r="C11" s="6" t="s">
        <v>82</v>
      </c>
      <c r="D11" s="6"/>
      <c r="F11" s="14" t="s">
        <v>63</v>
      </c>
      <c r="G11" s="33">
        <v>66243</v>
      </c>
      <c r="I11" s="14" t="s">
        <v>63</v>
      </c>
      <c r="J11" s="33">
        <v>6</v>
      </c>
      <c r="L11" s="8" t="s">
        <v>48</v>
      </c>
      <c r="M11" s="33">
        <v>485640</v>
      </c>
    </row>
    <row r="12" spans="1:19" ht="15.6" x14ac:dyDescent="0.3">
      <c r="A12" s="8" t="s">
        <v>85</v>
      </c>
      <c r="B12" s="11">
        <v>15.108695652173912</v>
      </c>
      <c r="C12" s="11">
        <v>51.195652173913047</v>
      </c>
      <c r="D12" s="6"/>
      <c r="F12" s="14" t="s">
        <v>17</v>
      </c>
      <c r="G12" s="33">
        <v>198100</v>
      </c>
      <c r="I12" s="14" t="s">
        <v>17</v>
      </c>
      <c r="J12" s="33">
        <v>18</v>
      </c>
      <c r="L12" s="8" t="s">
        <v>24</v>
      </c>
      <c r="M12" s="33">
        <v>216528</v>
      </c>
    </row>
    <row r="13" spans="1:19" ht="15.6" x14ac:dyDescent="0.3">
      <c r="A13" s="8" t="s">
        <v>48</v>
      </c>
      <c r="B13" s="11">
        <v>13.722222222222221</v>
      </c>
      <c r="C13" s="11">
        <v>50.583333333333336</v>
      </c>
      <c r="D13" s="6"/>
      <c r="F13" s="14" t="s">
        <v>58</v>
      </c>
      <c r="G13" s="33">
        <v>72108</v>
      </c>
      <c r="I13" s="14" t="s">
        <v>58</v>
      </c>
      <c r="J13" s="33">
        <v>6</v>
      </c>
      <c r="L13" s="8" t="s">
        <v>76</v>
      </c>
      <c r="M13" s="33">
        <v>1317162</v>
      </c>
    </row>
    <row r="14" spans="1:19" ht="15.6" x14ac:dyDescent="0.3">
      <c r="A14" s="8" t="s">
        <v>24</v>
      </c>
      <c r="B14" s="11">
        <v>13.444444444444445</v>
      </c>
      <c r="C14" s="11">
        <v>49.5</v>
      </c>
      <c r="D14" s="6"/>
      <c r="F14" s="8" t="s">
        <v>48</v>
      </c>
      <c r="G14" s="33">
        <v>485640</v>
      </c>
      <c r="I14" s="8" t="s">
        <v>48</v>
      </c>
      <c r="J14" s="33">
        <v>36</v>
      </c>
    </row>
    <row r="15" spans="1:19" ht="18" x14ac:dyDescent="0.35">
      <c r="A15" s="8" t="s">
        <v>76</v>
      </c>
      <c r="B15" s="11">
        <v>14.31</v>
      </c>
      <c r="C15" s="11">
        <v>50.67</v>
      </c>
      <c r="D15" s="6"/>
      <c r="F15" s="14" t="s">
        <v>72</v>
      </c>
      <c r="G15" s="33">
        <v>32020</v>
      </c>
      <c r="I15" s="14" t="s">
        <v>72</v>
      </c>
      <c r="J15" s="33">
        <v>3</v>
      </c>
      <c r="L15" s="27" t="s">
        <v>101</v>
      </c>
      <c r="M15" s="27"/>
    </row>
    <row r="16" spans="1:19" ht="15.6" x14ac:dyDescent="0.3">
      <c r="A16" s="8"/>
      <c r="B16" s="11"/>
      <c r="D16" s="6"/>
      <c r="F16" s="14" t="s">
        <v>47</v>
      </c>
      <c r="G16" s="33">
        <v>25638</v>
      </c>
      <c r="I16" s="14" t="s">
        <v>47</v>
      </c>
      <c r="J16" s="33">
        <v>3</v>
      </c>
      <c r="L16" s="7" t="s">
        <v>89</v>
      </c>
      <c r="M16" s="6" t="s">
        <v>86</v>
      </c>
    </row>
    <row r="17" spans="1:19" ht="15.6" x14ac:dyDescent="0.3">
      <c r="D17" s="6"/>
      <c r="F17" s="14" t="s">
        <v>70</v>
      </c>
      <c r="G17" s="33">
        <v>26520</v>
      </c>
      <c r="I17" s="14" t="s">
        <v>70</v>
      </c>
      <c r="J17" s="33">
        <v>1</v>
      </c>
      <c r="L17" s="8" t="s">
        <v>85</v>
      </c>
      <c r="M17" s="33">
        <v>46</v>
      </c>
    </row>
    <row r="18" spans="1:19" ht="15.6" x14ac:dyDescent="0.3">
      <c r="F18" s="14" t="s">
        <v>64</v>
      </c>
      <c r="G18" s="33">
        <v>32267</v>
      </c>
      <c r="I18" s="14" t="s">
        <v>64</v>
      </c>
      <c r="J18" s="33">
        <v>2</v>
      </c>
      <c r="L18" s="14" t="s">
        <v>14</v>
      </c>
      <c r="M18" s="33">
        <v>27</v>
      </c>
    </row>
    <row r="19" spans="1:19" ht="18" x14ac:dyDescent="0.35">
      <c r="A19" s="27" t="s">
        <v>96</v>
      </c>
      <c r="B19" s="27"/>
      <c r="C19" s="27"/>
      <c r="D19" s="27"/>
      <c r="F19" s="14" t="s">
        <v>61</v>
      </c>
      <c r="G19" s="33">
        <v>6178</v>
      </c>
      <c r="I19" s="14" t="s">
        <v>61</v>
      </c>
      <c r="J19" s="33">
        <v>2</v>
      </c>
      <c r="L19" s="14" t="s">
        <v>18</v>
      </c>
      <c r="M19" s="33">
        <v>18</v>
      </c>
    </row>
    <row r="20" spans="1:19" ht="15.6" x14ac:dyDescent="0.3">
      <c r="A20" s="7" t="s">
        <v>88</v>
      </c>
      <c r="B20" s="6" t="s">
        <v>90</v>
      </c>
      <c r="C20" s="6" t="s">
        <v>91</v>
      </c>
      <c r="D20" s="6" t="s">
        <v>92</v>
      </c>
      <c r="F20" s="14" t="s">
        <v>49</v>
      </c>
      <c r="G20" s="33">
        <v>54571</v>
      </c>
      <c r="H20" s="6"/>
      <c r="I20" s="14" t="s">
        <v>49</v>
      </c>
      <c r="J20" s="33">
        <v>5</v>
      </c>
      <c r="L20" s="14" t="s">
        <v>44</v>
      </c>
      <c r="M20" s="33">
        <v>1</v>
      </c>
    </row>
    <row r="21" spans="1:19" ht="15.6" x14ac:dyDescent="0.3">
      <c r="A21" s="8" t="s">
        <v>85</v>
      </c>
      <c r="B21" s="33">
        <v>1428</v>
      </c>
      <c r="C21" s="33">
        <v>24472</v>
      </c>
      <c r="D21" s="33">
        <v>13369.434782608696</v>
      </c>
      <c r="F21" s="14" t="s">
        <v>63</v>
      </c>
      <c r="G21" s="33">
        <v>21765</v>
      </c>
      <c r="H21" s="6"/>
      <c r="I21" s="14" t="s">
        <v>63</v>
      </c>
      <c r="J21" s="33">
        <v>3</v>
      </c>
      <c r="L21" s="8" t="s">
        <v>48</v>
      </c>
      <c r="M21" s="33">
        <v>36</v>
      </c>
    </row>
    <row r="22" spans="1:19" ht="15.6" x14ac:dyDescent="0.3">
      <c r="A22" s="8" t="s">
        <v>48</v>
      </c>
      <c r="B22" s="33">
        <v>1673</v>
      </c>
      <c r="C22" s="33">
        <v>35000</v>
      </c>
      <c r="D22" s="33">
        <v>13490</v>
      </c>
      <c r="F22" s="14" t="s">
        <v>13</v>
      </c>
      <c r="G22" s="33">
        <v>35000</v>
      </c>
      <c r="H22" s="6"/>
      <c r="I22" s="14" t="s">
        <v>13</v>
      </c>
      <c r="J22" s="33">
        <v>1</v>
      </c>
      <c r="L22" s="14" t="s">
        <v>14</v>
      </c>
      <c r="M22" s="33">
        <v>21</v>
      </c>
    </row>
    <row r="23" spans="1:19" ht="15.6" x14ac:dyDescent="0.3">
      <c r="A23" s="8" t="s">
        <v>24</v>
      </c>
      <c r="B23" s="33">
        <v>1952</v>
      </c>
      <c r="C23" s="33">
        <v>25000</v>
      </c>
      <c r="D23" s="33">
        <v>12029.333333333334</v>
      </c>
      <c r="F23" s="14" t="s">
        <v>17</v>
      </c>
      <c r="G23" s="33">
        <v>240525</v>
      </c>
      <c r="H23" s="6"/>
      <c r="I23" s="14" t="s">
        <v>17</v>
      </c>
      <c r="J23" s="33">
        <v>14</v>
      </c>
      <c r="L23" s="14" t="s">
        <v>18</v>
      </c>
      <c r="M23" s="33">
        <v>14</v>
      </c>
    </row>
    <row r="24" spans="1:19" ht="15.6" x14ac:dyDescent="0.3">
      <c r="A24" s="8" t="s">
        <v>76</v>
      </c>
      <c r="B24" s="33">
        <v>1428</v>
      </c>
      <c r="C24" s="33">
        <v>35000</v>
      </c>
      <c r="D24" s="33">
        <v>13171.62</v>
      </c>
      <c r="F24" s="14" t="s">
        <v>58</v>
      </c>
      <c r="G24" s="33">
        <v>11156</v>
      </c>
      <c r="H24" s="6"/>
      <c r="I24" s="14" t="s">
        <v>58</v>
      </c>
      <c r="J24" s="33">
        <v>2</v>
      </c>
      <c r="L24" s="14" t="s">
        <v>44</v>
      </c>
      <c r="M24" s="33">
        <v>1</v>
      </c>
    </row>
    <row r="25" spans="1:19" ht="15.6" x14ac:dyDescent="0.3">
      <c r="F25" s="8" t="s">
        <v>24</v>
      </c>
      <c r="G25" s="33">
        <v>216528</v>
      </c>
      <c r="H25" s="6"/>
      <c r="I25" s="8" t="s">
        <v>24</v>
      </c>
      <c r="J25" s="33">
        <v>18</v>
      </c>
      <c r="L25" s="8" t="s">
        <v>24</v>
      </c>
      <c r="M25" s="33">
        <v>18</v>
      </c>
      <c r="Q25" s="6"/>
    </row>
    <row r="26" spans="1:19" ht="15.6" x14ac:dyDescent="0.3">
      <c r="F26" s="14" t="s">
        <v>72</v>
      </c>
      <c r="G26" s="33">
        <v>40893</v>
      </c>
      <c r="H26" s="6"/>
      <c r="I26" s="14" t="s">
        <v>72</v>
      </c>
      <c r="J26" s="33">
        <v>4</v>
      </c>
      <c r="L26" s="14" t="s">
        <v>14</v>
      </c>
      <c r="M26" s="33">
        <v>12</v>
      </c>
      <c r="Q26" s="6"/>
    </row>
    <row r="27" spans="1:19" ht="15.6" x14ac:dyDescent="0.3">
      <c r="A27" s="31" t="s">
        <v>103</v>
      </c>
      <c r="B27" t="s">
        <v>79</v>
      </c>
      <c r="C27" t="s">
        <v>78</v>
      </c>
      <c r="F27" s="14" t="s">
        <v>64</v>
      </c>
      <c r="G27" s="33">
        <v>29348</v>
      </c>
      <c r="H27" s="6"/>
      <c r="I27" s="14" t="s">
        <v>64</v>
      </c>
      <c r="J27" s="33">
        <v>3</v>
      </c>
      <c r="L27" s="14" t="s">
        <v>18</v>
      </c>
      <c r="M27" s="33">
        <v>4</v>
      </c>
      <c r="Q27" s="6"/>
    </row>
    <row r="28" spans="1:19" ht="15.6" x14ac:dyDescent="0.3">
      <c r="A28" s="32" t="s">
        <v>72</v>
      </c>
      <c r="B28" s="3">
        <v>0.80444444444444452</v>
      </c>
      <c r="C28" s="3">
        <v>0.75222222222222213</v>
      </c>
      <c r="F28" s="14" t="s">
        <v>61</v>
      </c>
      <c r="G28" s="33">
        <v>20121</v>
      </c>
      <c r="H28" s="6"/>
      <c r="I28" s="14" t="s">
        <v>61</v>
      </c>
      <c r="J28" s="33">
        <v>1</v>
      </c>
      <c r="L28" s="14" t="s">
        <v>44</v>
      </c>
      <c r="M28" s="33">
        <v>2</v>
      </c>
      <c r="N28" s="6"/>
      <c r="S28" s="6"/>
    </row>
    <row r="29" spans="1:19" ht="15.6" x14ac:dyDescent="0.3">
      <c r="A29" s="32" t="s">
        <v>47</v>
      </c>
      <c r="B29" s="3">
        <v>0.82400000000000007</v>
      </c>
      <c r="C29" s="3">
        <v>0.65600000000000003</v>
      </c>
      <c r="F29" s="14" t="s">
        <v>56</v>
      </c>
      <c r="G29" s="33">
        <v>50000</v>
      </c>
      <c r="H29" s="6"/>
      <c r="I29" s="14" t="s">
        <v>56</v>
      </c>
      <c r="J29" s="33">
        <v>2</v>
      </c>
      <c r="L29" s="8" t="s">
        <v>76</v>
      </c>
      <c r="M29" s="33">
        <v>100</v>
      </c>
      <c r="N29" s="6"/>
      <c r="S29" s="6"/>
    </row>
    <row r="30" spans="1:19" ht="15.6" x14ac:dyDescent="0.3">
      <c r="A30" s="32" t="s">
        <v>70</v>
      </c>
      <c r="B30" s="3">
        <v>0.81</v>
      </c>
      <c r="C30" s="3">
        <v>0.66</v>
      </c>
      <c r="F30" s="14" t="s">
        <v>49</v>
      </c>
      <c r="G30" s="33">
        <v>15730</v>
      </c>
      <c r="H30" s="6"/>
      <c r="I30" s="14" t="s">
        <v>49</v>
      </c>
      <c r="J30" s="33">
        <v>1</v>
      </c>
      <c r="N30" s="6"/>
      <c r="S30" s="6"/>
    </row>
    <row r="31" spans="1:19" ht="15.6" x14ac:dyDescent="0.3">
      <c r="A31" s="32" t="s">
        <v>64</v>
      </c>
      <c r="B31" s="3">
        <v>0.84500000000000008</v>
      </c>
      <c r="C31" s="3">
        <v>0.7416666666666667</v>
      </c>
      <c r="E31" s="6"/>
      <c r="F31" s="14" t="s">
        <v>63</v>
      </c>
      <c r="G31" s="33">
        <v>19987</v>
      </c>
      <c r="I31" s="14" t="s">
        <v>63</v>
      </c>
      <c r="J31" s="33">
        <v>1</v>
      </c>
      <c r="N31" s="6"/>
      <c r="S31" s="6"/>
    </row>
    <row r="32" spans="1:19" ht="15.6" x14ac:dyDescent="0.3">
      <c r="A32" s="32" t="s">
        <v>59</v>
      </c>
      <c r="B32" s="3">
        <v>0.82</v>
      </c>
      <c r="C32" s="3">
        <v>0.86</v>
      </c>
      <c r="D32" s="6"/>
      <c r="E32" s="6"/>
      <c r="F32" s="14" t="s">
        <v>17</v>
      </c>
      <c r="G32" s="33">
        <v>36545</v>
      </c>
      <c r="I32" s="14" t="s">
        <v>17</v>
      </c>
      <c r="J32" s="33">
        <v>4</v>
      </c>
      <c r="N32" s="6"/>
      <c r="S32" s="6"/>
    </row>
    <row r="33" spans="1:19" ht="15.6" x14ac:dyDescent="0.3">
      <c r="A33" s="32" t="s">
        <v>61</v>
      </c>
      <c r="B33" s="3">
        <v>0.83499999999999996</v>
      </c>
      <c r="C33" s="3">
        <v>0.59</v>
      </c>
      <c r="D33" s="6"/>
      <c r="E33" s="6"/>
      <c r="F33" s="14" t="s">
        <v>58</v>
      </c>
      <c r="G33" s="33">
        <v>3904</v>
      </c>
      <c r="I33" s="14" t="s">
        <v>58</v>
      </c>
      <c r="J33" s="33">
        <v>2</v>
      </c>
      <c r="N33" s="6"/>
      <c r="S33" s="6"/>
    </row>
    <row r="34" spans="1:19" ht="15.6" x14ac:dyDescent="0.3">
      <c r="A34" s="32" t="s">
        <v>56</v>
      </c>
      <c r="B34" s="3">
        <v>0.8</v>
      </c>
      <c r="C34" s="3">
        <v>0.9</v>
      </c>
      <c r="D34" s="6"/>
      <c r="E34" s="6"/>
      <c r="F34" s="8" t="s">
        <v>76</v>
      </c>
      <c r="G34" s="33">
        <v>1317162</v>
      </c>
      <c r="I34" s="8" t="s">
        <v>76</v>
      </c>
      <c r="J34" s="33">
        <v>100</v>
      </c>
      <c r="N34" s="6"/>
      <c r="S34" s="6"/>
    </row>
    <row r="35" spans="1:19" ht="15.6" x14ac:dyDescent="0.3">
      <c r="A35" s="32" t="s">
        <v>43</v>
      </c>
      <c r="B35" s="3">
        <v>0.86</v>
      </c>
      <c r="C35" s="3">
        <v>0.87</v>
      </c>
      <c r="D35" s="6"/>
      <c r="E35" s="6"/>
      <c r="N35" s="6"/>
      <c r="S35" s="6"/>
    </row>
    <row r="36" spans="1:19" ht="15.6" x14ac:dyDescent="0.3">
      <c r="A36" s="32" t="s">
        <v>49</v>
      </c>
      <c r="B36" s="3">
        <v>0.83249999999999991</v>
      </c>
      <c r="C36" s="3">
        <v>0.73249999999999993</v>
      </c>
      <c r="D36" s="6"/>
      <c r="E36" s="6"/>
      <c r="N36" s="6"/>
      <c r="S36" s="6"/>
    </row>
    <row r="37" spans="1:19" ht="15.6" x14ac:dyDescent="0.3">
      <c r="A37" s="32" t="s">
        <v>63</v>
      </c>
      <c r="B37" s="3">
        <v>0.80500000000000005</v>
      </c>
      <c r="C37" s="3">
        <v>0.67999999999999994</v>
      </c>
      <c r="D37" s="6"/>
      <c r="E37" s="6"/>
      <c r="F37" s="6"/>
      <c r="K37" s="6"/>
      <c r="N37" s="6"/>
      <c r="S37" s="6"/>
    </row>
    <row r="38" spans="1:19" ht="15.6" x14ac:dyDescent="0.3">
      <c r="A38" s="32" t="s">
        <v>13</v>
      </c>
      <c r="B38" s="3">
        <v>0.89</v>
      </c>
      <c r="C38" s="3">
        <v>0.52</v>
      </c>
      <c r="D38" s="6"/>
      <c r="E38" s="6"/>
      <c r="F38" s="6"/>
      <c r="N38" s="6"/>
      <c r="S38" s="6"/>
    </row>
    <row r="39" spans="1:19" ht="15.6" x14ac:dyDescent="0.3">
      <c r="A39" s="32" t="s">
        <v>17</v>
      </c>
      <c r="B39" s="3">
        <v>0.81916666666666671</v>
      </c>
      <c r="C39" s="3">
        <v>0.70027777777777789</v>
      </c>
      <c r="D39" s="6"/>
      <c r="F39" s="31" t="s">
        <v>103</v>
      </c>
      <c r="G39" t="s">
        <v>105</v>
      </c>
    </row>
    <row r="40" spans="1:19" x14ac:dyDescent="0.3">
      <c r="A40" s="32" t="s">
        <v>58</v>
      </c>
      <c r="B40" s="3">
        <v>0.78800000000000003</v>
      </c>
      <c r="C40" s="3">
        <v>0.7659999999999999</v>
      </c>
      <c r="F40" s="32" t="s">
        <v>85</v>
      </c>
      <c r="G40" s="2">
        <v>33.920000000000009</v>
      </c>
    </row>
    <row r="41" spans="1:19" x14ac:dyDescent="0.3">
      <c r="A41" s="32" t="s">
        <v>76</v>
      </c>
      <c r="B41" s="3">
        <v>0.81830000000000058</v>
      </c>
      <c r="C41" s="3">
        <v>0.71210000000000007</v>
      </c>
      <c r="F41" s="32" t="s">
        <v>48</v>
      </c>
      <c r="G41" s="2">
        <v>28.660000000000004</v>
      </c>
    </row>
    <row r="42" spans="1:19" x14ac:dyDescent="0.3">
      <c r="F42" s="32" t="s">
        <v>24</v>
      </c>
      <c r="G42" s="2">
        <v>13.939999999999998</v>
      </c>
    </row>
    <row r="43" spans="1:19" x14ac:dyDescent="0.3">
      <c r="F43" s="32" t="s">
        <v>76</v>
      </c>
      <c r="G43" s="2">
        <v>76.52000000000001</v>
      </c>
    </row>
  </sheetData>
  <mergeCells count="8">
    <mergeCell ref="I1:J1"/>
    <mergeCell ref="F1:G1"/>
    <mergeCell ref="A1:D1"/>
    <mergeCell ref="A19:D19"/>
    <mergeCell ref="L8:M8"/>
    <mergeCell ref="L15:M15"/>
    <mergeCell ref="A10:C10"/>
    <mergeCell ref="L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3073-C907-4317-8AA2-D3CAA42D37C4}">
  <sheetPr>
    <tabColor theme="4" tint="0.79998168889431442"/>
  </sheetPr>
  <dimension ref="C1:AN78"/>
  <sheetViews>
    <sheetView showGridLines="0" tabSelected="1" topLeftCell="A2" zoomScale="50" zoomScaleNormal="55" workbookViewId="0">
      <selection activeCell="AS41" sqref="AS41"/>
    </sheetView>
  </sheetViews>
  <sheetFormatPr defaultRowHeight="14.4" x14ac:dyDescent="0.3"/>
  <cols>
    <col min="1" max="3" width="8.88671875" style="12"/>
    <col min="4" max="7" width="10.21875" style="12" customWidth="1"/>
    <col min="8" max="16384" width="8.88671875" style="12"/>
  </cols>
  <sheetData>
    <row r="1" spans="3:40" ht="14.4" customHeight="1" x14ac:dyDescent="0.3">
      <c r="C1" s="17"/>
      <c r="D1" s="18"/>
      <c r="E1" s="34"/>
      <c r="F1" s="34"/>
      <c r="G1" s="34"/>
      <c r="H1" s="29" t="s">
        <v>83</v>
      </c>
      <c r="I1" s="29"/>
      <c r="J1" s="29"/>
      <c r="K1" s="29"/>
      <c r="L1" s="29"/>
      <c r="M1" s="29"/>
      <c r="N1" s="29"/>
      <c r="O1" s="29"/>
      <c r="P1" s="29"/>
      <c r="Q1" s="29"/>
      <c r="R1" s="29"/>
      <c r="S1" s="29"/>
      <c r="T1" s="29"/>
      <c r="U1" s="29"/>
      <c r="V1" s="24"/>
      <c r="W1" s="24"/>
      <c r="X1" s="24"/>
      <c r="Y1" s="24"/>
      <c r="Z1" s="24"/>
      <c r="AA1" s="24"/>
      <c r="AB1" s="24"/>
      <c r="AC1" s="24"/>
      <c r="AD1" s="24"/>
      <c r="AE1" s="24"/>
      <c r="AF1" s="24"/>
      <c r="AG1" s="24"/>
      <c r="AH1" s="24"/>
      <c r="AI1" s="24"/>
      <c r="AJ1" s="24"/>
      <c r="AK1" s="24"/>
      <c r="AL1" s="24"/>
      <c r="AM1" s="24"/>
      <c r="AN1" s="19"/>
    </row>
    <row r="2" spans="3:40" ht="14.4" customHeight="1" x14ac:dyDescent="0.3">
      <c r="C2" s="17"/>
      <c r="D2" s="20"/>
      <c r="E2" s="35"/>
      <c r="F2" s="35"/>
      <c r="G2" s="35"/>
      <c r="H2" s="30"/>
      <c r="I2" s="30"/>
      <c r="J2" s="30"/>
      <c r="K2" s="30"/>
      <c r="L2" s="30"/>
      <c r="M2" s="30"/>
      <c r="N2" s="30"/>
      <c r="O2" s="30"/>
      <c r="P2" s="30"/>
      <c r="Q2" s="30"/>
      <c r="R2" s="30"/>
      <c r="S2" s="30"/>
      <c r="T2" s="30"/>
      <c r="U2" s="30"/>
      <c r="V2" s="25"/>
      <c r="W2" s="25"/>
      <c r="X2" s="25"/>
      <c r="Y2" s="25"/>
      <c r="Z2" s="25"/>
      <c r="AA2" s="25"/>
      <c r="AB2" s="25"/>
      <c r="AC2" s="25"/>
      <c r="AD2" s="25"/>
      <c r="AE2" s="25"/>
      <c r="AF2" s="25"/>
      <c r="AG2" s="25"/>
      <c r="AH2" s="25"/>
      <c r="AI2" s="25"/>
      <c r="AJ2" s="25"/>
      <c r="AK2" s="25"/>
      <c r="AL2" s="25"/>
      <c r="AM2" s="25"/>
      <c r="AN2" s="21"/>
    </row>
    <row r="3" spans="3:40" ht="14.4" customHeight="1" x14ac:dyDescent="0.3">
      <c r="C3" s="17"/>
      <c r="D3" s="20"/>
      <c r="E3" s="35"/>
      <c r="F3" s="35"/>
      <c r="G3" s="35"/>
      <c r="H3" s="30"/>
      <c r="I3" s="30"/>
      <c r="J3" s="30"/>
      <c r="K3" s="30"/>
      <c r="L3" s="30"/>
      <c r="M3" s="30"/>
      <c r="N3" s="30"/>
      <c r="O3" s="30"/>
      <c r="P3" s="30"/>
      <c r="Q3" s="30"/>
      <c r="R3" s="30"/>
      <c r="S3" s="30"/>
      <c r="T3" s="30"/>
      <c r="U3" s="30"/>
      <c r="V3" s="25"/>
      <c r="W3" s="25"/>
      <c r="X3" s="25"/>
      <c r="Y3" s="25"/>
      <c r="Z3" s="25"/>
      <c r="AA3" s="25"/>
      <c r="AB3" s="25"/>
      <c r="AC3" s="25"/>
      <c r="AD3" s="25"/>
      <c r="AE3" s="25"/>
      <c r="AF3" s="25"/>
      <c r="AG3" s="25"/>
      <c r="AH3" s="25"/>
      <c r="AI3" s="25"/>
      <c r="AJ3" s="25"/>
      <c r="AK3" s="25"/>
      <c r="AL3" s="25"/>
      <c r="AM3" s="25"/>
      <c r="AN3" s="21"/>
    </row>
    <row r="4" spans="3:40" ht="18" customHeight="1" x14ac:dyDescent="0.3">
      <c r="C4" s="17"/>
      <c r="D4" s="20"/>
      <c r="E4" s="35"/>
      <c r="F4" s="35"/>
      <c r="G4" s="35"/>
      <c r="H4" s="30"/>
      <c r="I4" s="30"/>
      <c r="J4" s="30"/>
      <c r="K4" s="30"/>
      <c r="L4" s="30"/>
      <c r="M4" s="30"/>
      <c r="N4" s="30"/>
      <c r="O4" s="30"/>
      <c r="P4" s="30"/>
      <c r="Q4" s="30"/>
      <c r="R4" s="30"/>
      <c r="S4" s="30"/>
      <c r="T4" s="30"/>
      <c r="U4" s="30"/>
      <c r="V4" s="25"/>
      <c r="W4" s="25"/>
      <c r="X4" s="25"/>
      <c r="Y4" s="25"/>
      <c r="Z4" s="25"/>
      <c r="AA4" s="25"/>
      <c r="AB4" s="25"/>
      <c r="AC4" s="25"/>
      <c r="AD4" s="25"/>
      <c r="AE4" s="25"/>
      <c r="AF4" s="25"/>
      <c r="AG4" s="25"/>
      <c r="AH4" s="25"/>
      <c r="AI4" s="25"/>
      <c r="AJ4" s="25"/>
      <c r="AK4" s="25"/>
      <c r="AL4" s="25"/>
      <c r="AM4" s="25"/>
      <c r="AN4" s="21"/>
    </row>
    <row r="5" spans="3:40" ht="16.8" customHeight="1" x14ac:dyDescent="0.3">
      <c r="C5" s="17"/>
      <c r="D5" s="26" t="s">
        <v>84</v>
      </c>
      <c r="E5" s="36"/>
      <c r="F5" s="36"/>
      <c r="G5" s="36"/>
      <c r="H5" s="30"/>
      <c r="I5" s="30"/>
      <c r="J5" s="30"/>
      <c r="K5" s="30"/>
      <c r="L5" s="30"/>
      <c r="M5" s="30"/>
      <c r="N5" s="30"/>
      <c r="O5" s="30"/>
      <c r="P5" s="30"/>
      <c r="Q5" s="30"/>
      <c r="R5" s="30"/>
      <c r="S5" s="30"/>
      <c r="T5" s="30"/>
      <c r="U5" s="30"/>
      <c r="V5" s="25"/>
      <c r="W5" s="25"/>
      <c r="X5" s="25"/>
      <c r="Y5" s="25"/>
      <c r="Z5" s="25"/>
      <c r="AA5" s="25"/>
      <c r="AB5" s="25"/>
      <c r="AC5" s="25"/>
      <c r="AD5" s="25"/>
      <c r="AE5" s="25"/>
      <c r="AF5" s="25"/>
      <c r="AG5" s="25"/>
      <c r="AH5" s="25"/>
      <c r="AI5" s="25"/>
      <c r="AJ5" s="25"/>
      <c r="AK5" s="25"/>
      <c r="AL5" s="25"/>
      <c r="AM5" s="25"/>
      <c r="AN5" s="21"/>
    </row>
    <row r="6" spans="3:40" x14ac:dyDescent="0.3">
      <c r="C6" s="17"/>
      <c r="D6" s="37"/>
      <c r="E6" s="38"/>
      <c r="F6" s="38"/>
      <c r="G6" s="38"/>
      <c r="AN6" s="17"/>
    </row>
    <row r="7" spans="3:40" x14ac:dyDescent="0.3">
      <c r="C7" s="17"/>
      <c r="D7" s="37"/>
      <c r="E7" s="38"/>
      <c r="F7" s="38"/>
      <c r="G7" s="38"/>
      <c r="I7" s="46" t="s">
        <v>107</v>
      </c>
      <c r="J7" s="46"/>
      <c r="K7" s="46"/>
      <c r="L7" s="46"/>
      <c r="M7" s="46"/>
      <c r="N7" s="46"/>
      <c r="O7" s="46"/>
      <c r="P7" s="46"/>
      <c r="R7" s="47" t="s">
        <v>104</v>
      </c>
      <c r="S7" s="47"/>
      <c r="T7" s="47"/>
      <c r="U7" s="47"/>
      <c r="V7" s="47"/>
      <c r="W7" s="47"/>
      <c r="X7" s="47"/>
      <c r="Y7" s="47"/>
      <c r="Z7" s="47"/>
      <c r="AA7" s="47"/>
      <c r="AC7" s="48" t="s">
        <v>106</v>
      </c>
      <c r="AD7" s="49"/>
      <c r="AE7" s="49"/>
      <c r="AF7" s="49"/>
      <c r="AG7" s="49"/>
      <c r="AH7" s="49"/>
      <c r="AI7" s="49"/>
      <c r="AJ7" s="49"/>
      <c r="AK7" s="49"/>
      <c r="AL7" s="49"/>
      <c r="AM7" s="49"/>
      <c r="AN7" s="17"/>
    </row>
    <row r="8" spans="3:40" x14ac:dyDescent="0.3">
      <c r="D8" s="37"/>
      <c r="E8" s="38"/>
      <c r="F8" s="38"/>
      <c r="G8" s="38"/>
      <c r="I8" s="46"/>
      <c r="J8" s="46"/>
      <c r="K8" s="46"/>
      <c r="L8" s="46"/>
      <c r="M8" s="46"/>
      <c r="N8" s="46"/>
      <c r="O8" s="46"/>
      <c r="P8" s="46"/>
      <c r="R8" s="47"/>
      <c r="S8" s="47"/>
      <c r="T8" s="47"/>
      <c r="U8" s="47"/>
      <c r="V8" s="47"/>
      <c r="W8" s="47"/>
      <c r="X8" s="47"/>
      <c r="Y8" s="47"/>
      <c r="Z8" s="47"/>
      <c r="AA8" s="47"/>
      <c r="AC8" s="49"/>
      <c r="AD8" s="49"/>
      <c r="AE8" s="49"/>
      <c r="AF8" s="49"/>
      <c r="AG8" s="49"/>
      <c r="AH8" s="49"/>
      <c r="AI8" s="49"/>
      <c r="AJ8" s="49"/>
      <c r="AK8" s="49"/>
      <c r="AL8" s="49"/>
      <c r="AM8" s="49"/>
      <c r="AN8" s="17"/>
    </row>
    <row r="9" spans="3:40" x14ac:dyDescent="0.3">
      <c r="D9" s="37"/>
      <c r="E9" s="38"/>
      <c r="F9" s="38"/>
      <c r="G9" s="38"/>
      <c r="I9" s="46"/>
      <c r="J9" s="46"/>
      <c r="K9" s="46"/>
      <c r="L9" s="46"/>
      <c r="M9" s="46"/>
      <c r="N9" s="46"/>
      <c r="O9" s="46"/>
      <c r="P9" s="46"/>
      <c r="R9" s="47"/>
      <c r="S9" s="47"/>
      <c r="T9" s="47"/>
      <c r="U9" s="47"/>
      <c r="V9" s="47"/>
      <c r="W9" s="47"/>
      <c r="X9" s="47"/>
      <c r="Y9" s="47"/>
      <c r="Z9" s="47"/>
      <c r="AA9" s="47"/>
      <c r="AC9" s="49"/>
      <c r="AD9" s="49"/>
      <c r="AE9" s="49"/>
      <c r="AF9" s="49"/>
      <c r="AG9" s="49"/>
      <c r="AH9" s="49"/>
      <c r="AI9" s="49"/>
      <c r="AJ9" s="49"/>
      <c r="AK9" s="49"/>
      <c r="AL9" s="49"/>
      <c r="AM9" s="49"/>
      <c r="AN9" s="17"/>
    </row>
    <row r="10" spans="3:40" x14ac:dyDescent="0.3">
      <c r="D10" s="37"/>
      <c r="E10" s="38"/>
      <c r="F10" s="38"/>
      <c r="G10" s="38"/>
      <c r="I10" s="46"/>
      <c r="J10" s="46"/>
      <c r="K10" s="46"/>
      <c r="L10" s="46"/>
      <c r="M10" s="46"/>
      <c r="N10" s="46"/>
      <c r="O10" s="46"/>
      <c r="P10" s="46"/>
      <c r="R10" s="47"/>
      <c r="S10" s="47"/>
      <c r="T10" s="47"/>
      <c r="U10" s="47"/>
      <c r="V10" s="47"/>
      <c r="W10" s="47"/>
      <c r="X10" s="47"/>
      <c r="Y10" s="47"/>
      <c r="Z10" s="47"/>
      <c r="AA10" s="47"/>
      <c r="AC10" s="49"/>
      <c r="AD10" s="49"/>
      <c r="AE10" s="49"/>
      <c r="AF10" s="49"/>
      <c r="AG10" s="49"/>
      <c r="AH10" s="49"/>
      <c r="AI10" s="49"/>
      <c r="AJ10" s="49"/>
      <c r="AK10" s="49"/>
      <c r="AL10" s="49"/>
      <c r="AM10" s="49"/>
      <c r="AN10" s="17"/>
    </row>
    <row r="11" spans="3:40" x14ac:dyDescent="0.3">
      <c r="D11" s="37"/>
      <c r="E11" s="38"/>
      <c r="F11" s="38"/>
      <c r="G11" s="38"/>
      <c r="I11" s="45">
        <f>AVERAGE('All Dept'!I2:I95)</f>
        <v>13282.744680851063</v>
      </c>
      <c r="J11" s="45"/>
      <c r="K11" s="45"/>
      <c r="L11" s="45"/>
      <c r="M11" s="45"/>
      <c r="N11" s="45"/>
      <c r="O11" s="45"/>
      <c r="P11" s="45"/>
      <c r="R11" s="44">
        <f>AVERAGE('All Dept'!J2:J95,'All Dept'!K2:K95)</f>
        <v>0.76367021276595715</v>
      </c>
      <c r="S11" s="42"/>
      <c r="T11" s="42"/>
      <c r="U11" s="42"/>
      <c r="V11" s="42"/>
      <c r="W11" s="42"/>
      <c r="X11" s="42"/>
      <c r="Y11" s="42"/>
      <c r="Z11" s="42"/>
      <c r="AA11" s="42"/>
      <c r="AC11" s="43">
        <f>5</f>
        <v>5</v>
      </c>
      <c r="AD11" s="43"/>
      <c r="AE11" s="43"/>
      <c r="AF11" s="43"/>
      <c r="AG11" s="43"/>
      <c r="AH11" s="43"/>
      <c r="AI11" s="43"/>
      <c r="AJ11" s="43"/>
      <c r="AK11" s="43"/>
      <c r="AL11" s="43"/>
      <c r="AM11" s="43"/>
      <c r="AN11" s="17"/>
    </row>
    <row r="12" spans="3:40" x14ac:dyDescent="0.3">
      <c r="C12" s="17"/>
      <c r="D12" s="37"/>
      <c r="E12" s="38"/>
      <c r="F12" s="38"/>
      <c r="G12" s="38"/>
      <c r="I12" s="45"/>
      <c r="J12" s="45"/>
      <c r="K12" s="45"/>
      <c r="L12" s="45"/>
      <c r="M12" s="45"/>
      <c r="N12" s="45"/>
      <c r="O12" s="45"/>
      <c r="P12" s="45"/>
      <c r="R12" s="42"/>
      <c r="S12" s="42"/>
      <c r="T12" s="42"/>
      <c r="U12" s="42"/>
      <c r="V12" s="42"/>
      <c r="W12" s="42"/>
      <c r="X12" s="42"/>
      <c r="Y12" s="42"/>
      <c r="Z12" s="42"/>
      <c r="AA12" s="42"/>
      <c r="AC12" s="43"/>
      <c r="AD12" s="43"/>
      <c r="AE12" s="43"/>
      <c r="AF12" s="43"/>
      <c r="AG12" s="43"/>
      <c r="AH12" s="43"/>
      <c r="AI12" s="43"/>
      <c r="AJ12" s="43"/>
      <c r="AK12" s="43"/>
      <c r="AL12" s="43"/>
      <c r="AM12" s="43"/>
      <c r="AN12" s="17"/>
    </row>
    <row r="13" spans="3:40" x14ac:dyDescent="0.3">
      <c r="C13" s="17"/>
      <c r="D13" s="37"/>
      <c r="E13" s="38"/>
      <c r="F13" s="38"/>
      <c r="G13" s="38"/>
      <c r="I13" s="45"/>
      <c r="J13" s="45"/>
      <c r="K13" s="45"/>
      <c r="L13" s="45"/>
      <c r="M13" s="45"/>
      <c r="N13" s="45"/>
      <c r="O13" s="45"/>
      <c r="P13" s="45"/>
      <c r="R13" s="42"/>
      <c r="S13" s="42"/>
      <c r="T13" s="42"/>
      <c r="U13" s="42"/>
      <c r="V13" s="42"/>
      <c r="W13" s="42"/>
      <c r="X13" s="42"/>
      <c r="Y13" s="42"/>
      <c r="Z13" s="42"/>
      <c r="AA13" s="42"/>
      <c r="AC13" s="43"/>
      <c r="AD13" s="43"/>
      <c r="AE13" s="43"/>
      <c r="AF13" s="43"/>
      <c r="AG13" s="43"/>
      <c r="AH13" s="43"/>
      <c r="AI13" s="43"/>
      <c r="AJ13" s="43"/>
      <c r="AK13" s="43"/>
      <c r="AL13" s="43"/>
      <c r="AM13" s="43"/>
      <c r="AN13" s="17"/>
    </row>
    <row r="14" spans="3:40" x14ac:dyDescent="0.3">
      <c r="C14" s="17"/>
      <c r="D14" s="37"/>
      <c r="E14" s="38"/>
      <c r="F14" s="38"/>
      <c r="G14" s="38"/>
      <c r="I14" s="45"/>
      <c r="J14" s="45"/>
      <c r="K14" s="45"/>
      <c r="L14" s="45"/>
      <c r="M14" s="45"/>
      <c r="N14" s="45"/>
      <c r="O14" s="45"/>
      <c r="P14" s="45"/>
      <c r="R14" s="42"/>
      <c r="S14" s="42"/>
      <c r="T14" s="42"/>
      <c r="U14" s="42"/>
      <c r="V14" s="42"/>
      <c r="W14" s="42"/>
      <c r="X14" s="42"/>
      <c r="Y14" s="42"/>
      <c r="Z14" s="42"/>
      <c r="AA14" s="42"/>
      <c r="AC14" s="43"/>
      <c r="AD14" s="43"/>
      <c r="AE14" s="43"/>
      <c r="AF14" s="43"/>
      <c r="AG14" s="43"/>
      <c r="AH14" s="43"/>
      <c r="AI14" s="43"/>
      <c r="AJ14" s="43"/>
      <c r="AK14" s="43"/>
      <c r="AL14" s="43"/>
      <c r="AM14" s="43"/>
      <c r="AN14" s="17"/>
    </row>
    <row r="15" spans="3:40" x14ac:dyDescent="0.3">
      <c r="C15" s="17"/>
      <c r="D15" s="37"/>
      <c r="E15" s="38"/>
      <c r="F15" s="38"/>
      <c r="G15" s="38"/>
      <c r="AN15" s="17"/>
    </row>
    <row r="16" spans="3:40" x14ac:dyDescent="0.3">
      <c r="C16" s="17"/>
      <c r="D16" s="37"/>
      <c r="E16" s="38"/>
      <c r="F16" s="38"/>
      <c r="G16" s="38"/>
      <c r="AN16" s="17"/>
    </row>
    <row r="17" spans="3:40" x14ac:dyDescent="0.3">
      <c r="C17" s="17"/>
      <c r="D17" s="37"/>
      <c r="E17" s="38"/>
      <c r="F17" s="38"/>
      <c r="G17" s="38"/>
      <c r="AN17" s="17"/>
    </row>
    <row r="18" spans="3:40" x14ac:dyDescent="0.3">
      <c r="C18" s="17"/>
      <c r="D18" s="37"/>
      <c r="E18" s="38"/>
      <c r="F18" s="38"/>
      <c r="G18" s="38"/>
      <c r="AN18" s="17"/>
    </row>
    <row r="19" spans="3:40" x14ac:dyDescent="0.3">
      <c r="C19" s="17"/>
      <c r="D19" s="37"/>
      <c r="E19" s="38"/>
      <c r="F19" s="38"/>
      <c r="G19" s="38"/>
      <c r="AN19" s="17"/>
    </row>
    <row r="20" spans="3:40" x14ac:dyDescent="0.3">
      <c r="C20" s="17"/>
      <c r="D20" s="37"/>
      <c r="E20" s="38"/>
      <c r="F20" s="38"/>
      <c r="G20" s="38"/>
      <c r="AN20" s="17"/>
    </row>
    <row r="21" spans="3:40" x14ac:dyDescent="0.3">
      <c r="C21" s="17"/>
      <c r="D21" s="37"/>
      <c r="E21" s="38"/>
      <c r="F21" s="38"/>
      <c r="G21" s="38"/>
      <c r="AN21" s="17"/>
    </row>
    <row r="22" spans="3:40" x14ac:dyDescent="0.3">
      <c r="C22" s="17"/>
      <c r="D22" s="37"/>
      <c r="E22" s="38"/>
      <c r="F22" s="38"/>
      <c r="G22" s="38"/>
      <c r="AN22" s="17"/>
    </row>
    <row r="23" spans="3:40" x14ac:dyDescent="0.3">
      <c r="C23" s="17"/>
      <c r="D23" s="37"/>
      <c r="E23" s="38"/>
      <c r="F23" s="38"/>
      <c r="G23" s="38"/>
      <c r="AN23" s="17"/>
    </row>
    <row r="24" spans="3:40" x14ac:dyDescent="0.3">
      <c r="C24" s="17"/>
      <c r="D24" s="37"/>
      <c r="E24" s="38"/>
      <c r="F24" s="38"/>
      <c r="G24" s="38"/>
      <c r="AN24" s="17"/>
    </row>
    <row r="25" spans="3:40" x14ac:dyDescent="0.3">
      <c r="C25" s="17"/>
      <c r="D25" s="37"/>
      <c r="E25" s="38"/>
      <c r="F25" s="38"/>
      <c r="G25" s="38"/>
      <c r="AN25" s="17"/>
    </row>
    <row r="26" spans="3:40" x14ac:dyDescent="0.3">
      <c r="C26" s="17"/>
      <c r="D26" s="37"/>
      <c r="E26" s="38"/>
      <c r="F26" s="38"/>
      <c r="G26" s="38"/>
      <c r="AN26" s="17"/>
    </row>
    <row r="27" spans="3:40" x14ac:dyDescent="0.3">
      <c r="C27" s="17"/>
      <c r="D27" s="37"/>
      <c r="E27" s="38"/>
      <c r="F27" s="38"/>
      <c r="G27" s="38"/>
      <c r="AN27" s="17"/>
    </row>
    <row r="28" spans="3:40" x14ac:dyDescent="0.3">
      <c r="C28" s="17"/>
      <c r="D28" s="37"/>
      <c r="E28" s="38"/>
      <c r="F28" s="38"/>
      <c r="G28" s="38"/>
      <c r="AN28" s="17"/>
    </row>
    <row r="29" spans="3:40" x14ac:dyDescent="0.3">
      <c r="C29" s="17"/>
      <c r="D29" s="37"/>
      <c r="E29" s="38"/>
      <c r="F29" s="38"/>
      <c r="G29" s="38"/>
      <c r="AN29" s="17"/>
    </row>
    <row r="30" spans="3:40" x14ac:dyDescent="0.3">
      <c r="C30" s="17"/>
      <c r="D30" s="37"/>
      <c r="E30" s="38"/>
      <c r="F30" s="38"/>
      <c r="G30" s="38"/>
      <c r="AN30" s="17"/>
    </row>
    <row r="31" spans="3:40" x14ac:dyDescent="0.3">
      <c r="C31" s="17"/>
      <c r="D31" s="37"/>
      <c r="E31" s="38"/>
      <c r="F31" s="38"/>
      <c r="G31" s="38"/>
      <c r="AN31" s="17"/>
    </row>
    <row r="32" spans="3:40" x14ac:dyDescent="0.3">
      <c r="C32" s="17"/>
      <c r="D32" s="37"/>
      <c r="E32" s="38"/>
      <c r="F32" s="38"/>
      <c r="G32" s="38"/>
      <c r="AN32" s="17"/>
    </row>
    <row r="33" spans="3:40" x14ac:dyDescent="0.3">
      <c r="C33" s="17"/>
      <c r="D33" s="37"/>
      <c r="E33" s="38"/>
      <c r="F33" s="38"/>
      <c r="G33" s="38"/>
      <c r="AN33" s="17"/>
    </row>
    <row r="34" spans="3:40" x14ac:dyDescent="0.3">
      <c r="C34" s="17"/>
      <c r="D34" s="37"/>
      <c r="E34" s="38"/>
      <c r="F34" s="38"/>
      <c r="G34" s="38"/>
      <c r="AN34" s="17"/>
    </row>
    <row r="35" spans="3:40" x14ac:dyDescent="0.3">
      <c r="C35" s="17"/>
      <c r="D35" s="37"/>
      <c r="E35" s="38"/>
      <c r="F35" s="38"/>
      <c r="G35" s="38"/>
      <c r="AN35" s="17"/>
    </row>
    <row r="36" spans="3:40" x14ac:dyDescent="0.3">
      <c r="C36" s="17"/>
      <c r="D36" s="37"/>
      <c r="E36" s="38"/>
      <c r="F36" s="38"/>
      <c r="G36" s="38"/>
      <c r="AN36" s="17"/>
    </row>
    <row r="37" spans="3:40" x14ac:dyDescent="0.3">
      <c r="C37" s="17"/>
      <c r="D37" s="37"/>
      <c r="E37" s="38"/>
      <c r="F37" s="38"/>
      <c r="G37" s="38"/>
      <c r="AN37" s="17"/>
    </row>
    <row r="38" spans="3:40" x14ac:dyDescent="0.3">
      <c r="C38" s="17"/>
      <c r="D38" s="37"/>
      <c r="E38" s="38"/>
      <c r="F38" s="38"/>
      <c r="G38" s="38"/>
      <c r="AN38" s="17"/>
    </row>
    <row r="39" spans="3:40" x14ac:dyDescent="0.3">
      <c r="C39" s="17"/>
      <c r="D39" s="37"/>
      <c r="E39" s="38"/>
      <c r="F39" s="38"/>
      <c r="G39" s="38"/>
      <c r="AN39" s="17"/>
    </row>
    <row r="40" spans="3:40" x14ac:dyDescent="0.3">
      <c r="C40" s="17"/>
      <c r="D40" s="37"/>
      <c r="E40" s="38"/>
      <c r="F40" s="38"/>
      <c r="G40" s="38"/>
      <c r="AN40" s="17"/>
    </row>
    <row r="41" spans="3:40" x14ac:dyDescent="0.3">
      <c r="C41" s="17"/>
      <c r="D41" s="37"/>
      <c r="E41" s="38"/>
      <c r="F41" s="38"/>
      <c r="G41" s="38"/>
      <c r="AN41" s="17"/>
    </row>
    <row r="42" spans="3:40" x14ac:dyDescent="0.3">
      <c r="C42" s="17"/>
      <c r="D42" s="37"/>
      <c r="E42" s="38"/>
      <c r="F42" s="38"/>
      <c r="G42" s="38"/>
      <c r="AN42" s="17"/>
    </row>
    <row r="43" spans="3:40" x14ac:dyDescent="0.3">
      <c r="C43" s="17"/>
      <c r="D43" s="37"/>
      <c r="E43" s="38"/>
      <c r="F43" s="38"/>
      <c r="G43" s="38"/>
      <c r="AN43" s="17"/>
    </row>
    <row r="44" spans="3:40" x14ac:dyDescent="0.3">
      <c r="C44" s="17"/>
      <c r="D44" s="37"/>
      <c r="E44" s="38"/>
      <c r="F44" s="38"/>
      <c r="G44" s="38"/>
      <c r="AN44" s="17"/>
    </row>
    <row r="45" spans="3:40" x14ac:dyDescent="0.3">
      <c r="C45" s="17"/>
      <c r="D45" s="37"/>
      <c r="E45" s="38"/>
      <c r="F45" s="38"/>
      <c r="G45" s="38"/>
      <c r="AN45" s="17"/>
    </row>
    <row r="46" spans="3:40" x14ac:dyDescent="0.3">
      <c r="C46" s="17"/>
      <c r="D46" s="37"/>
      <c r="E46" s="38"/>
      <c r="F46" s="38"/>
      <c r="G46" s="38"/>
      <c r="AN46" s="17"/>
    </row>
    <row r="47" spans="3:40" x14ac:dyDescent="0.3">
      <c r="C47" s="17"/>
      <c r="D47" s="37"/>
      <c r="E47" s="38"/>
      <c r="F47" s="38"/>
      <c r="G47" s="38"/>
      <c r="AN47" s="17"/>
    </row>
    <row r="48" spans="3:40" x14ac:dyDescent="0.3">
      <c r="C48" s="17"/>
      <c r="D48" s="37"/>
      <c r="E48" s="38"/>
      <c r="F48" s="38"/>
      <c r="G48" s="38"/>
      <c r="AN48" s="17"/>
    </row>
    <row r="49" spans="3:40" x14ac:dyDescent="0.3">
      <c r="C49" s="17"/>
      <c r="D49" s="37"/>
      <c r="E49" s="38"/>
      <c r="F49" s="38"/>
      <c r="G49" s="38"/>
      <c r="AN49" s="17"/>
    </row>
    <row r="50" spans="3:40" x14ac:dyDescent="0.3">
      <c r="C50" s="17"/>
      <c r="D50" s="37"/>
      <c r="E50" s="38"/>
      <c r="F50" s="38"/>
      <c r="G50" s="38"/>
      <c r="AN50" s="17"/>
    </row>
    <row r="51" spans="3:40" x14ac:dyDescent="0.3">
      <c r="C51" s="17"/>
      <c r="D51" s="37"/>
      <c r="E51" s="38"/>
      <c r="F51" s="38"/>
      <c r="G51" s="38"/>
      <c r="AN51" s="17"/>
    </row>
    <row r="52" spans="3:40" x14ac:dyDescent="0.3">
      <c r="C52" s="17"/>
      <c r="D52" s="37"/>
      <c r="E52" s="38"/>
      <c r="F52" s="38"/>
      <c r="G52" s="38"/>
      <c r="AN52" s="17"/>
    </row>
    <row r="53" spans="3:40" x14ac:dyDescent="0.3">
      <c r="C53" s="17"/>
      <c r="D53" s="37"/>
      <c r="E53" s="38"/>
      <c r="F53" s="38"/>
      <c r="G53" s="38"/>
      <c r="AN53" s="17"/>
    </row>
    <row r="54" spans="3:40" x14ac:dyDescent="0.3">
      <c r="C54" s="17"/>
      <c r="D54" s="37"/>
      <c r="E54" s="38"/>
      <c r="F54" s="38"/>
      <c r="G54" s="38"/>
      <c r="AN54" s="17"/>
    </row>
    <row r="55" spans="3:40" x14ac:dyDescent="0.3">
      <c r="C55" s="17"/>
      <c r="D55" s="37"/>
      <c r="E55" s="38"/>
      <c r="F55" s="38"/>
      <c r="G55" s="38"/>
      <c r="AN55" s="17"/>
    </row>
    <row r="56" spans="3:40" x14ac:dyDescent="0.3">
      <c r="C56" s="17"/>
      <c r="D56" s="37"/>
      <c r="E56" s="38"/>
      <c r="F56" s="38"/>
      <c r="G56" s="38"/>
      <c r="AN56" s="17"/>
    </row>
    <row r="57" spans="3:40" x14ac:dyDescent="0.3">
      <c r="C57" s="17"/>
      <c r="D57" s="37"/>
      <c r="E57" s="38"/>
      <c r="F57" s="38"/>
      <c r="G57" s="38"/>
      <c r="AN57" s="17"/>
    </row>
    <row r="58" spans="3:40" x14ac:dyDescent="0.3">
      <c r="C58" s="17"/>
      <c r="D58" s="37"/>
      <c r="E58" s="38"/>
      <c r="F58" s="38"/>
      <c r="G58" s="38"/>
      <c r="AN58" s="17"/>
    </row>
    <row r="59" spans="3:40" x14ac:dyDescent="0.3">
      <c r="C59" s="17"/>
      <c r="D59" s="37"/>
      <c r="E59" s="38"/>
      <c r="F59" s="38"/>
      <c r="G59" s="38"/>
      <c r="AN59" s="17"/>
    </row>
    <row r="60" spans="3:40" x14ac:dyDescent="0.3">
      <c r="C60" s="17"/>
      <c r="D60" s="37"/>
      <c r="E60" s="38"/>
      <c r="F60" s="38"/>
      <c r="G60" s="38"/>
      <c r="AN60" s="17"/>
    </row>
    <row r="61" spans="3:40" x14ac:dyDescent="0.3">
      <c r="C61" s="17"/>
      <c r="D61" s="37"/>
      <c r="E61" s="38"/>
      <c r="F61" s="38"/>
      <c r="G61" s="38"/>
      <c r="AN61" s="17"/>
    </row>
    <row r="62" spans="3:40" x14ac:dyDescent="0.3">
      <c r="C62" s="17"/>
      <c r="D62" s="37"/>
      <c r="E62" s="38"/>
      <c r="F62" s="38"/>
      <c r="G62" s="38"/>
      <c r="AN62" s="17"/>
    </row>
    <row r="63" spans="3:40" x14ac:dyDescent="0.3">
      <c r="C63" s="17"/>
      <c r="D63" s="37"/>
      <c r="E63" s="38"/>
      <c r="F63" s="38"/>
      <c r="G63" s="38"/>
      <c r="AN63" s="17"/>
    </row>
    <row r="64" spans="3:40" x14ac:dyDescent="0.3">
      <c r="C64" s="17"/>
      <c r="D64" s="37"/>
      <c r="E64" s="38"/>
      <c r="F64" s="38"/>
      <c r="G64" s="38"/>
      <c r="AN64" s="17"/>
    </row>
    <row r="65" spans="3:40" x14ac:dyDescent="0.3">
      <c r="C65" s="17"/>
      <c r="D65" s="37"/>
      <c r="E65" s="38"/>
      <c r="F65" s="38"/>
      <c r="G65" s="38"/>
      <c r="AN65" s="17"/>
    </row>
    <row r="66" spans="3:40" x14ac:dyDescent="0.3">
      <c r="C66" s="17"/>
      <c r="D66" s="37"/>
      <c r="E66" s="38"/>
      <c r="F66" s="38"/>
      <c r="G66" s="38"/>
      <c r="AN66" s="17"/>
    </row>
    <row r="67" spans="3:40" x14ac:dyDescent="0.3">
      <c r="C67" s="17"/>
      <c r="D67" s="38"/>
      <c r="E67" s="38"/>
      <c r="F67" s="38"/>
      <c r="G67" s="38"/>
      <c r="AN67" s="17"/>
    </row>
    <row r="68" spans="3:40" x14ac:dyDescent="0.3">
      <c r="C68" s="17"/>
      <c r="D68" s="38"/>
      <c r="E68" s="38"/>
      <c r="F68" s="38"/>
      <c r="G68" s="38"/>
      <c r="AN68" s="17"/>
    </row>
    <row r="69" spans="3:40" x14ac:dyDescent="0.3">
      <c r="C69" s="17"/>
      <c r="D69" s="38"/>
      <c r="E69" s="38"/>
      <c r="F69" s="38"/>
      <c r="G69" s="38"/>
      <c r="AN69" s="17"/>
    </row>
    <row r="70" spans="3:40" x14ac:dyDescent="0.3">
      <c r="C70" s="17"/>
      <c r="D70" s="38"/>
      <c r="E70" s="38"/>
      <c r="F70" s="38"/>
      <c r="G70" s="38"/>
      <c r="AN70" s="17"/>
    </row>
    <row r="71" spans="3:40" x14ac:dyDescent="0.3">
      <c r="C71" s="17"/>
      <c r="D71" s="38"/>
      <c r="E71" s="38"/>
      <c r="F71" s="38"/>
      <c r="G71" s="38"/>
      <c r="AN71" s="17"/>
    </row>
    <row r="72" spans="3:40" x14ac:dyDescent="0.3">
      <c r="C72" s="17"/>
      <c r="D72" s="38"/>
      <c r="E72" s="38"/>
      <c r="F72" s="38"/>
      <c r="G72" s="38"/>
      <c r="AN72" s="17"/>
    </row>
    <row r="73" spans="3:40" x14ac:dyDescent="0.3">
      <c r="C73" s="17"/>
      <c r="D73" s="39"/>
      <c r="E73" s="39"/>
      <c r="F73" s="39"/>
      <c r="G73" s="39"/>
      <c r="AN73" s="17"/>
    </row>
    <row r="74" spans="3:40" x14ac:dyDescent="0.3">
      <c r="C74" s="17"/>
      <c r="D74" s="39"/>
      <c r="E74" s="39"/>
      <c r="F74" s="39"/>
      <c r="G74" s="39"/>
      <c r="AN74" s="17"/>
    </row>
    <row r="75" spans="3:40" x14ac:dyDescent="0.3">
      <c r="C75" s="17"/>
      <c r="D75" s="39"/>
      <c r="E75" s="39"/>
      <c r="F75" s="39"/>
      <c r="G75" s="39"/>
      <c r="AN75" s="17"/>
    </row>
    <row r="76" spans="3:40" x14ac:dyDescent="0.3">
      <c r="C76" s="17"/>
      <c r="D76" s="39"/>
      <c r="E76" s="39"/>
      <c r="F76" s="39"/>
      <c r="G76" s="39"/>
      <c r="AN76" s="17"/>
    </row>
    <row r="77" spans="3:40" x14ac:dyDescent="0.3">
      <c r="C77" s="17"/>
      <c r="D77" s="39"/>
      <c r="E77" s="39"/>
      <c r="F77" s="39"/>
      <c r="G77" s="39"/>
      <c r="AN77" s="17"/>
    </row>
    <row r="78" spans="3:40" x14ac:dyDescent="0.3">
      <c r="C78" s="17"/>
      <c r="D78" s="40"/>
      <c r="E78" s="41"/>
      <c r="F78" s="41"/>
      <c r="G78" s="41"/>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3"/>
    </row>
  </sheetData>
  <mergeCells count="7">
    <mergeCell ref="H1:U5"/>
    <mergeCell ref="AC7:AM10"/>
    <mergeCell ref="R7:AA10"/>
    <mergeCell ref="I7:P10"/>
    <mergeCell ref="R11:AA14"/>
    <mergeCell ref="AC11:AM14"/>
    <mergeCell ref="I11:P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411736-8C87-45E7-A7DB-79C2EE0D1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Finance</vt:lpstr>
      <vt:lpstr>HR</vt:lpstr>
      <vt:lpstr>IT</vt:lpstr>
      <vt:lpstr>Marketing</vt:lpstr>
      <vt:lpstr>All Dept</vt:lpstr>
      <vt:lpstr>Pivot Table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جيسيكا اشرف  جورجي حنا  ميخائيل</dc:creator>
  <cp:lastModifiedBy>جيسيكا اشرف  جورجي حنا  ميخائيل</cp:lastModifiedBy>
  <dcterms:created xsi:type="dcterms:W3CDTF">2025-06-14T22:53:26Z</dcterms:created>
  <dcterms:modified xsi:type="dcterms:W3CDTF">2025-06-20T18:03:20Z</dcterms:modified>
</cp:coreProperties>
</file>